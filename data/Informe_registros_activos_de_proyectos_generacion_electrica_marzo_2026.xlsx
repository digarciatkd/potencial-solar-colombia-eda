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bc6774de959512/Desktop/"/>
    </mc:Choice>
  </mc:AlternateContent>
  <xr:revisionPtr revIDLastSave="206" documentId="8_{5EEA6097-8017-4168-9791-AE3964461B62}" xr6:coauthVersionLast="47" xr6:coauthVersionMax="47" xr10:uidLastSave="{3F1A8BC1-D2C7-4D21-8274-DEAB90A47D2E}"/>
  <workbookProtection workbookAlgorithmName="SHA-512" workbookHashValue="f5uLqpIjcQMxqjhpsHs4LirJAR3kKgdAkd61jFvJ7V58TlupI8VbsA6GnNTqzbXqOp9edFUbDAL3fQCmG8Ed2Q==" workbookSaltValue="RqWS6rWN65nXhmNLpmBsMg==" workbookSpinCount="100000" lockStructure="1"/>
  <bookViews>
    <workbookView xWindow="-20610" yWindow="-5700" windowWidth="20730" windowHeight="11040" xr2:uid="{2F4960A4-DC25-4986-B9B2-DB87CB1E995A}"/>
  </bookViews>
  <sheets>
    <sheet name="Informe" sheetId="1" r:id="rId1"/>
  </sheets>
  <definedNames>
    <definedName name="ExternalData_1" localSheetId="0" hidden="1">Informe!$B$3:$Q$101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6" i="1"/>
  <c r="F6" i="1" s="1"/>
  <c r="E5" i="1"/>
  <c r="F5" i="1" s="1"/>
  <c r="E7" i="1"/>
  <c r="F7" i="1" s="1"/>
  <c r="E8" i="1"/>
  <c r="F8" i="1" s="1"/>
  <c r="E9" i="1"/>
  <c r="F9" i="1" s="1"/>
  <c r="E11" i="1"/>
  <c r="F11" i="1" s="1"/>
  <c r="E10" i="1"/>
  <c r="F10" i="1" s="1"/>
  <c r="E15" i="1"/>
  <c r="F15" i="1" s="1"/>
  <c r="E12" i="1"/>
  <c r="F12" i="1" s="1"/>
  <c r="E14" i="1"/>
  <c r="F14" i="1" s="1"/>
  <c r="E16" i="1"/>
  <c r="F16" i="1" s="1"/>
  <c r="E13" i="1"/>
  <c r="F13" i="1" s="1"/>
  <c r="E24" i="1"/>
  <c r="F24" i="1" s="1"/>
  <c r="E25" i="1"/>
  <c r="F25" i="1" s="1"/>
  <c r="E26" i="1"/>
  <c r="F26" i="1" s="1"/>
  <c r="E27" i="1"/>
  <c r="F27" i="1" s="1"/>
  <c r="E18" i="1"/>
  <c r="F18" i="1" s="1"/>
  <c r="E22" i="1"/>
  <c r="F22" i="1" s="1"/>
  <c r="E19" i="1"/>
  <c r="F19" i="1" s="1"/>
  <c r="E20" i="1"/>
  <c r="F20" i="1" s="1"/>
  <c r="E23" i="1"/>
  <c r="F23" i="1" s="1"/>
  <c r="E17" i="1"/>
  <c r="F17" i="1" s="1"/>
  <c r="E21" i="1"/>
  <c r="F21" i="1" s="1"/>
  <c r="E28" i="1"/>
  <c r="F28" i="1" s="1"/>
  <c r="E29" i="1"/>
  <c r="F29" i="1" s="1"/>
  <c r="E30" i="1"/>
  <c r="F30" i="1" s="1"/>
  <c r="E34" i="1"/>
  <c r="F34" i="1" s="1"/>
  <c r="E31" i="1"/>
  <c r="F31" i="1" s="1"/>
  <c r="E32" i="1"/>
  <c r="F32" i="1" s="1"/>
  <c r="E33" i="1"/>
  <c r="F33" i="1" s="1"/>
  <c r="E35" i="1"/>
  <c r="F35" i="1" s="1"/>
  <c r="E37" i="1"/>
  <c r="F37" i="1" s="1"/>
  <c r="E36" i="1"/>
  <c r="F36" i="1" s="1"/>
  <c r="E39" i="1"/>
  <c r="F39" i="1" s="1"/>
  <c r="E38" i="1"/>
  <c r="F38" i="1" s="1"/>
  <c r="E40" i="1"/>
  <c r="F40" i="1" s="1"/>
  <c r="E42" i="1"/>
  <c r="F42" i="1" s="1"/>
  <c r="E41" i="1"/>
  <c r="F41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E55" i="1"/>
  <c r="F55" i="1" s="1"/>
  <c r="E56" i="1"/>
  <c r="F56" i="1" s="1"/>
  <c r="E57" i="1"/>
  <c r="F57" i="1" s="1"/>
  <c r="E58" i="1"/>
  <c r="F58" i="1" s="1"/>
  <c r="E60" i="1"/>
  <c r="F60" i="1" s="1"/>
  <c r="E59" i="1"/>
  <c r="F59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F54" i="1"/>
  <c r="H102" i="1" l="1"/>
  <c r="M102" i="1" l="1"/>
</calcChain>
</file>

<file path=xl/sharedStrings.xml><?xml version="1.0" encoding="utf-8"?>
<sst xmlns="http://schemas.openxmlformats.org/spreadsheetml/2006/main" count="833" uniqueCount="235">
  <si>
    <t xml:space="preserve"> ANTIOQUIA</t>
  </si>
  <si>
    <t>SOLARPACK RENOVABLES S.A.S</t>
  </si>
  <si>
    <t>MARIQUITA</t>
  </si>
  <si>
    <t xml:space="preserve"> TOLIMA</t>
  </si>
  <si>
    <t xml:space="preserve"> SANTANDER</t>
  </si>
  <si>
    <t>CENTRAL HIDROELÉCTRICA CAÑAVERAL</t>
  </si>
  <si>
    <t>CENTRAL HIDROELÉCTRICA ENCIMADAS</t>
  </si>
  <si>
    <t xml:space="preserve"> BOYACA</t>
  </si>
  <si>
    <t>LENGUPA 1-LE 1</t>
  </si>
  <si>
    <t xml:space="preserve"> BOLIVAR</t>
  </si>
  <si>
    <t>EL GUAYACAN</t>
  </si>
  <si>
    <t>TAMARINO COLOMBIA S.A.S.</t>
  </si>
  <si>
    <t>PUERTO NARE</t>
  </si>
  <si>
    <t>ZONA BANANERA</t>
  </si>
  <si>
    <t xml:space="preserve"> MAGDALENA</t>
  </si>
  <si>
    <t>PARQUE FOTOVOLTAICO LA ACHIRA</t>
  </si>
  <si>
    <t>PARQUE SOLAR FV REFISOL 99.9 MW</t>
  </si>
  <si>
    <t>PROYECTO SAN DIEGO 90 MW</t>
  </si>
  <si>
    <t>CIMITARRA</t>
  </si>
  <si>
    <t>SOL DE CIMITARRA</t>
  </si>
  <si>
    <t>CARTAGENA</t>
  </si>
  <si>
    <t>PARQUE SOLAR FOTOVOLTAICO CAMPO VERDE 9,9 MW</t>
  </si>
  <si>
    <t>PCH ALTO RECIO</t>
  </si>
  <si>
    <t>PARQUE SOLAR TOLEDO 2</t>
  </si>
  <si>
    <t>PARQUE SOLAR TOLEDO 1</t>
  </si>
  <si>
    <t>PARQUE SOLAR COLOMBOY 2</t>
  </si>
  <si>
    <t>PARQUE SOLAR COLOMBOY 1</t>
  </si>
  <si>
    <t>PARQUE EÓLICO CALADIO</t>
  </si>
  <si>
    <t>PARQUE SOLAR MINERO</t>
  </si>
  <si>
    <t>COLIRRUFA SOLAR</t>
  </si>
  <si>
    <t>ARAUCA</t>
  </si>
  <si>
    <t>CACICUS</t>
  </si>
  <si>
    <t>SIRIRÍ SOLAR</t>
  </si>
  <si>
    <t>PFV AKACÍAS 3 BERLÍN</t>
  </si>
  <si>
    <t>BETULIA</t>
  </si>
  <si>
    <t>PARQUE SOLAR FOTOVOLTAICO BUCAROS SOL 180 MW</t>
  </si>
  <si>
    <t>ARENAL</t>
  </si>
  <si>
    <t>COLOSO</t>
  </si>
  <si>
    <t>PARQUE SOLAR VANGUARDIA 2</t>
  </si>
  <si>
    <t>PARQUE SOLAR VANGUARDIA 1</t>
  </si>
  <si>
    <t>PARQUE SOLAR TENERIFE 2</t>
  </si>
  <si>
    <t>SOCIEDAD DE GESTION GRUPO TW SOLAR COLOMBIA S.A.S</t>
  </si>
  <si>
    <t>PUERTO BOYACA</t>
  </si>
  <si>
    <t>PARQUE SOLAR TENERIFE 1</t>
  </si>
  <si>
    <t>LENGUPÁ</t>
  </si>
  <si>
    <t>MENDARCO</t>
  </si>
  <si>
    <t>SURINEMA</t>
  </si>
  <si>
    <t>COROZALITO</t>
  </si>
  <si>
    <t>OTÚN</t>
  </si>
  <si>
    <t>GUADERO</t>
  </si>
  <si>
    <t>PAUTO</t>
  </si>
  <si>
    <t>PEDREGAL</t>
  </si>
  <si>
    <t>FUNDACION</t>
  </si>
  <si>
    <t>LA POLA</t>
  </si>
  <si>
    <t>PROYECTO SOLAR COICORITA</t>
  </si>
  <si>
    <t>PÉTALO DEL MAGDALENA II GUACAMAYAL</t>
  </si>
  <si>
    <t>YAGUARO</t>
  </si>
  <si>
    <t>PEQUEÑA CENTRAL HIDROELÉCTRICA PUENTE OTERO</t>
  </si>
  <si>
    <t>BOSQUES SOLARES DE LOS LLANOS 7</t>
  </si>
  <si>
    <t>PARQUE EÓLICO OFFSHORE VIENTOS ALISIOS</t>
  </si>
  <si>
    <t>PEQUEÑA CENTRAL HIDROELÉCTRICA TAME</t>
  </si>
  <si>
    <t>PARQUE EÓLICO TW ACACIAS SAS</t>
  </si>
  <si>
    <t>BOSQUES SOLARES DE LOS LLANOS 6</t>
  </si>
  <si>
    <t>PARQUE SOLAR LOS COLORADOS III</t>
  </si>
  <si>
    <t>CENTRAL HIDROELÉCTRICA A FILO DE AGUA PRT</t>
  </si>
  <si>
    <t>PCH LA BONITA S.A.S. E.S.P.</t>
  </si>
  <si>
    <t>GOMEZ PLATA</t>
  </si>
  <si>
    <t>PARQUE SOLAR FOTOVOLTAICO GUAYACANES 200 MW</t>
  </si>
  <si>
    <t>PROYECTO HIDROELECTRICO DEL RÍO AMBEIMA</t>
  </si>
  <si>
    <t>TERMOBONDA S.A. E.S.P.</t>
  </si>
  <si>
    <t>PARQUE SOLAR VALLEDUPAR 100 MW</t>
  </si>
  <si>
    <t>PARQUE SOLAR FOTOVOLTAICO LIGUSTRO I</t>
  </si>
  <si>
    <t>PARQUE SOLAR CHINÚ 350 MW</t>
  </si>
  <si>
    <t>TERMOCAIMAN</t>
  </si>
  <si>
    <t>SAN JORGE FOTOVOLTAICO</t>
  </si>
  <si>
    <t>ATLANTICA- HIC RENOVABLES SAS</t>
  </si>
  <si>
    <t>PAZ DE ARIPORO</t>
  </si>
  <si>
    <t xml:space="preserve"> CASANARE</t>
  </si>
  <si>
    <t>GR PARQUE SOL DE ZAWADY SAS ESP</t>
  </si>
  <si>
    <t>GR PARQUE SOLAR SOL DE CIMITARRA S.A.S. E.S.P.</t>
  </si>
  <si>
    <t>FOTOVOLTAICO CAMPO VERDE SAS</t>
  </si>
  <si>
    <t>PLANTA TÉRMICA DRUMMOND</t>
  </si>
  <si>
    <t>Columna5</t>
  </si>
  <si>
    <t>Columna4</t>
  </si>
  <si>
    <t>Columna3</t>
  </si>
  <si>
    <t>Columna2</t>
  </si>
  <si>
    <t>Columna1</t>
  </si>
  <si>
    <t>Fecha de entrada en operación</t>
  </si>
  <si>
    <t>Fecha de inicio de construcción</t>
  </si>
  <si>
    <t>Municipio</t>
  </si>
  <si>
    <t>Departamento</t>
  </si>
  <si>
    <t>Capacidad [MW]</t>
  </si>
  <si>
    <t>Tecnología</t>
  </si>
  <si>
    <t>Tipo</t>
  </si>
  <si>
    <t xml:space="preserve">Recurso </t>
  </si>
  <si>
    <t>Estado</t>
  </si>
  <si>
    <t>Nombre  del proyecto</t>
  </si>
  <si>
    <t>Fecha límite de validez</t>
  </si>
  <si>
    <t>Fecha Inscripción proyecto</t>
  </si>
  <si>
    <t>Marco normativo 
aplicable</t>
  </si>
  <si>
    <t>Codigo Proyecto</t>
  </si>
  <si>
    <t>AES SOLAR 3</t>
  </si>
  <si>
    <t>PARQUE EÓLICO FLUVIAL RÍO GRANDE DE LA MAGDALENA</t>
  </si>
  <si>
    <t>Resolución UPME No. 749 de 2025</t>
  </si>
  <si>
    <t>Resolución UPME No. 143 de 2016</t>
  </si>
  <si>
    <t>SAN ÁNGEL 19,9MW</t>
  </si>
  <si>
    <t>PARQUE SOLAR FOTOVOLTAICO MELGAR 180 MW</t>
  </si>
  <si>
    <t>HELICONEA</t>
  </si>
  <si>
    <t>PARQUE SOLAR CÓRDOBA 200MW</t>
  </si>
  <si>
    <t>FASE 2</t>
  </si>
  <si>
    <t xml:space="preserve">SOLAR </t>
  </si>
  <si>
    <t xml:space="preserve"> SOL </t>
  </si>
  <si>
    <t xml:space="preserve"> FOTOVOLTAICO</t>
  </si>
  <si>
    <t>PARQUE SOLAR LA GUACA</t>
  </si>
  <si>
    <t>PARQUE SOLAR EL BÚHO</t>
  </si>
  <si>
    <t>PROYECTO HIDROELÉCTRICO RÍO VERDE</t>
  </si>
  <si>
    <t>FASE 3</t>
  </si>
  <si>
    <t xml:space="preserve">HIDRÁULICO </t>
  </si>
  <si>
    <t xml:space="preserve"> AGUA </t>
  </si>
  <si>
    <t xml:space="preserve"> FILO DE AGUA</t>
  </si>
  <si>
    <t>CHARCOS 99,9 MW</t>
  </si>
  <si>
    <t>HELICONIA SOLAR</t>
  </si>
  <si>
    <t>PARQUE EOLICO SIRIUS</t>
  </si>
  <si>
    <t xml:space="preserve">EÓLICO </t>
  </si>
  <si>
    <t xml:space="preserve"> VIENTO </t>
  </si>
  <si>
    <t xml:space="preserve"> COSTA ADENTRO</t>
  </si>
  <si>
    <t>PARQUE SOLAR ARIES</t>
  </si>
  <si>
    <t>PLANTA SOLAR COG.005.2022 GUANACASTE</t>
  </si>
  <si>
    <t xml:space="preserve">TÉRMICO </t>
  </si>
  <si>
    <t xml:space="preserve"> DIESEL </t>
  </si>
  <si>
    <t xml:space="preserve"> CICLO ABIERTO</t>
  </si>
  <si>
    <t>PARQUE SOLAR PUERTO WILCHES</t>
  </si>
  <si>
    <t>BOSQUES SOLARES DE LOS LLANOS 8 Y SU CONEXIÓN A LA SUBESTACIÓN OCOA 115 KV</t>
  </si>
  <si>
    <t>FLANDES SOLAR DE 9,9 MW</t>
  </si>
  <si>
    <t>PLANTA SOLAR COG.006.2022. CATLEYA</t>
  </si>
  <si>
    <t>ROSAMARÍA</t>
  </si>
  <si>
    <t xml:space="preserve"> GAS NATURAL </t>
  </si>
  <si>
    <t>PLANTA SOLAR COG.003.2022 TORREALBA</t>
  </si>
  <si>
    <t>CHIVO MONO I</t>
  </si>
  <si>
    <t>PARQUE SOLAR LA CHOLUPA</t>
  </si>
  <si>
    <t>PARQUE SOLAR LA ZURUMBA</t>
  </si>
  <si>
    <t>PARQUE SOLAR EL BAMBUCO</t>
  </si>
  <si>
    <t>PARQUE SOLAR LA PONDEROSA 99,9 MW</t>
  </si>
  <si>
    <t>PARQUE SOLAR FOTOVOLTAICO TANGARA</t>
  </si>
  <si>
    <t>PARQUE SOLAR FOTOVOLTAICO LIGUSTRO II</t>
  </si>
  <si>
    <t>SAHAGUN 400MW</t>
  </si>
  <si>
    <t>PROYECTO DE ENERGÍA RENOVABLE SANTA ANA</t>
  </si>
  <si>
    <t>PROYECTO HIDROELÉCTRICO MARÍA MULATA</t>
  </si>
  <si>
    <t>FASE 1</t>
  </si>
  <si>
    <t>PROYECTO SC SOLAR SAN MARTIN 300MWP</t>
  </si>
  <si>
    <t>FV LIZAMA</t>
  </si>
  <si>
    <t>PARQUE SOLAR FOTOVOLTAICO WIMKE</t>
  </si>
  <si>
    <t>PLANTA TÉRMICA EL TESORITO II 200 MW</t>
  </si>
  <si>
    <t>CENTRAL HIDROELÉCTRICA LA ESPERANZA</t>
  </si>
  <si>
    <t>TUCANCILLO</t>
  </si>
  <si>
    <t>LENGUPA 3-LE 3</t>
  </si>
  <si>
    <t>RUSA 2-RU 2</t>
  </si>
  <si>
    <t>RUSA 1-RU 1</t>
  </si>
  <si>
    <t>LA CANDELARIA 200 MW</t>
  </si>
  <si>
    <t>PROYECTO LA CACUNDA 150 MW</t>
  </si>
  <si>
    <t>TUPES DE 9.9 MW</t>
  </si>
  <si>
    <t xml:space="preserve"> COSTA AFUERA</t>
  </si>
  <si>
    <t>PARQUE SOLAR COROZO 250 MW</t>
  </si>
  <si>
    <t xml:space="preserve"> CORDOBA</t>
  </si>
  <si>
    <t>PUEBLO NUEVO</t>
  </si>
  <si>
    <t xml:space="preserve"> CUNDINAMARCA</t>
  </si>
  <si>
    <t>MOSQUERA</t>
  </si>
  <si>
    <t>SAN MIGUEL DE SEMA</t>
  </si>
  <si>
    <t>FRONTINO</t>
  </si>
  <si>
    <t>GIRON</t>
  </si>
  <si>
    <t>LOS SANTOS</t>
  </si>
  <si>
    <t xml:space="preserve"> LA GUAJIRA</t>
  </si>
  <si>
    <t>SAN JUAN DEL CESAR</t>
  </si>
  <si>
    <t>CHINU</t>
  </si>
  <si>
    <t xml:space="preserve"> RISARALDA</t>
  </si>
  <si>
    <t>PEREIRA</t>
  </si>
  <si>
    <t xml:space="preserve"> CESAR</t>
  </si>
  <si>
    <t>LA JAGUA DE IBIRICO</t>
  </si>
  <si>
    <t>PUERTO WILCHES</t>
  </si>
  <si>
    <t>BOSCONIA</t>
  </si>
  <si>
    <t xml:space="preserve"> META</t>
  </si>
  <si>
    <t>VILLAVICENCIO</t>
  </si>
  <si>
    <t>MONTELIBANO</t>
  </si>
  <si>
    <t>ARMERO</t>
  </si>
  <si>
    <t>FLANDES</t>
  </si>
  <si>
    <t xml:space="preserve"> ATLANTICO</t>
  </si>
  <si>
    <t>BARRANQUILLA</t>
  </si>
  <si>
    <t>RIOHACHA</t>
  </si>
  <si>
    <t xml:space="preserve"> HUILA</t>
  </si>
  <si>
    <t>HOBO</t>
  </si>
  <si>
    <t>ALTAMIRA</t>
  </si>
  <si>
    <t>PALERMO</t>
  </si>
  <si>
    <t xml:space="preserve"> CALDAS</t>
  </si>
  <si>
    <t>LA DORADA</t>
  </si>
  <si>
    <t>SITIONUEVO</t>
  </si>
  <si>
    <t>CIENAGA DE ORO</t>
  </si>
  <si>
    <t>VALLEDUPAR</t>
  </si>
  <si>
    <t>SAHAGUN</t>
  </si>
  <si>
    <t>JERICO</t>
  </si>
  <si>
    <t>SANTAFE DE BOGOTA D.C.</t>
  </si>
  <si>
    <t>BOGOTA, D.C.</t>
  </si>
  <si>
    <t>EL PASO</t>
  </si>
  <si>
    <t>BARRANCABERMEJA</t>
  </si>
  <si>
    <t>AGUADAS</t>
  </si>
  <si>
    <t>SONSON</t>
  </si>
  <si>
    <t>PUEBLO RICO</t>
  </si>
  <si>
    <t>HISPANIA</t>
  </si>
  <si>
    <t xml:space="preserve"> NORTE DE SANTANDER</t>
  </si>
  <si>
    <t>LA ESPERANZA</t>
  </si>
  <si>
    <t>PAEZ</t>
  </si>
  <si>
    <t>MIRAFLORES</t>
  </si>
  <si>
    <t>TUBARA</t>
  </si>
  <si>
    <t>MAGANGUE</t>
  </si>
  <si>
    <t>SANTA MARTA</t>
  </si>
  <si>
    <t>SANTA ROSA</t>
  </si>
  <si>
    <t>CHAPARRAL</t>
  </si>
  <si>
    <t xml:space="preserve"> SUCRE</t>
  </si>
  <si>
    <t>COROZAL</t>
  </si>
  <si>
    <t>EL CARMEN DE BOLIVAR</t>
  </si>
  <si>
    <t>GUACHETA</t>
  </si>
  <si>
    <t>ARACATACA</t>
  </si>
  <si>
    <t>LIBANO</t>
  </si>
  <si>
    <t>SANTA CATALINA</t>
  </si>
  <si>
    <t xml:space="preserve"> ARAUCA</t>
  </si>
  <si>
    <t>TAME</t>
  </si>
  <si>
    <t>PUENTE NACIONAL</t>
  </si>
  <si>
    <t>YONDO</t>
  </si>
  <si>
    <t>TOLUVIEJO</t>
  </si>
  <si>
    <t>SAN CARLOS</t>
  </si>
  <si>
    <t>CHIQUINQUIRA</t>
  </si>
  <si>
    <t>LA VIRGINIA</t>
  </si>
  <si>
    <t>AGUACHICA</t>
  </si>
  <si>
    <t>Fecha de validez: Marco normativo + Fecha construcción</t>
  </si>
  <si>
    <t>Fecha límite de validez0</t>
  </si>
  <si>
    <r>
      <t xml:space="preserve">Informe Registro de Proyectos de Generación 
</t>
    </r>
    <r>
      <rPr>
        <sz val="24"/>
        <color theme="1"/>
        <rFont val="Nunito Sans Normal"/>
      </rPr>
      <t>Registros activos con corte a 31 de marzo de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</si>
</sst>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Nunito Sans Normal"/>
    </font>
    <font>
      <sz val="24"/>
      <color theme="1"/>
      <name val="Nunito Sans Normal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3" borderId="0" xfId="0" applyNumberForma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m/d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m/d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1517637</xdr:colOff>
      <xdr:row>1</xdr:row>
      <xdr:rowOff>21525</xdr:rowOff>
    </xdr:from>
    <xdr:to>
      <xdr:col>6</xdr:col>
      <xdr:colOff>559659</xdr:colOff>
      <xdr:row>1</xdr:row>
      <xdr:rowOff>2421402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A046C5-5B33-BE4E-7932-1FA91B04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332" y="21525"/>
          <a:ext cx="2626005" cy="23998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97BA1-1F81-46A7-B00B-0AB5D027253A}" name="REPORTE_ENERO3" displayName="REPORTE_ENERO3" ref="B3:V102" totalsRowCount="1" headerRowDxfId="44" dataDxfId="43" totalsRowDxfId="42">
  <autoFilter ref="B3:V101" xr:uid="{A205770B-A7D8-45D5-9A35-492E0503AE02}"/>
  <sortState xmlns:xlrd2="http://schemas.microsoft.com/office/spreadsheetml/2017/richdata2" ref="B4:V101">
    <sortCondition descending="1" ref="D3:D101"/>
  </sortState>
  <tableColumns count="21">
    <tableColumn id="1" xr3:uid="{9C268105-45B5-48C4-A24A-CEC7CA04B02C}" name="Codigo Proyecto" dataDxfId="41" totalsRowDxfId="40"/>
    <tableColumn id="18" xr3:uid="{86F7F58A-973F-414B-B056-8C1905DE7A8F}" name="Marco normativo _x000a_aplicable" dataDxfId="39" totalsRowDxfId="38"/>
    <tableColumn id="2" xr3:uid="{9043D2B3-C5F0-4D26-8628-AA0B228C6ED0}" name="Fecha Inscripción proyecto" dataDxfId="37" totalsRowDxfId="36"/>
    <tableColumn id="22" xr3:uid="{E31EEDFE-6B61-4805-8595-611E155D6E2F}" name="Fecha de validez: Marco normativo + Fecha construcción" dataDxfId="35" totalsRowDxfId="34">
      <calculatedColumnFormula>IF(C4="Resolución UPME No. 749 de 2025",IF(I4="FASE 3", IF(ISBLANK(P4),D4+365,MIN(P4+365,P4)), IF(ISBLANK(P4),D4+730,MIN(D4+730,P4))),IF(I4="FASE 1", IF(ISBLANK(P4),D4+730,MIN(D4+730,P4)),IF(ISBLANK(P4),D4+365,MIN(D4+365,P4))))</calculatedColumnFormula>
    </tableColumn>
    <tableColumn id="19" xr3:uid="{32564664-1A19-4D94-A7D7-208446A33E30}" name="Fecha límite de validez0" dataDxfId="33" totalsRowDxfId="32">
      <calculatedColumnFormula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calculatedColumnFormula>
    </tableColumn>
    <tableColumn id="25" xr3:uid="{D08D6E8E-78DA-4CF2-B363-054FA8CBCFF6}" name="Fecha límite de validez" dataDxfId="31" totalsRowDxfId="30"/>
    <tableColumn id="3" xr3:uid="{22345C50-7399-4A17-930E-951D0618E59E}" name="Nombre  del proyecto" totalsRowFunction="count" dataDxfId="29" totalsRowDxfId="28"/>
    <tableColumn id="5" xr3:uid="{735A2F3E-C6FC-46E7-B2D5-4152815CBAC8}" name="Estado" dataDxfId="27" totalsRowDxfId="26"/>
    <tableColumn id="7" xr3:uid="{09DAE773-4F7E-421B-8B1F-6A727BA709F4}" name="Recurso " dataDxfId="25" totalsRowDxfId="24"/>
    <tableColumn id="8" xr3:uid="{F6EE9E85-A95F-49A1-96E4-DA343CDDCA82}" name="Tipo" dataDxfId="23" totalsRowDxfId="22"/>
    <tableColumn id="9" xr3:uid="{A30F8900-2D05-4A0C-8866-6E4C1BF5B33C}" name="Tecnología" dataDxfId="21" totalsRowDxfId="20"/>
    <tableColumn id="10" xr3:uid="{A559239D-1C19-475B-A781-08CAFBFBDC8B}" name="Capacidad [MW]" totalsRowFunction="sum" dataDxfId="19" totalsRowDxfId="18"/>
    <tableColumn id="12" xr3:uid="{5529FD70-634D-4B89-A472-6E354417114D}" name="Departamento" dataDxfId="17" totalsRowDxfId="16"/>
    <tableColumn id="11" xr3:uid="{C092282B-DD79-4F7A-BBCD-736546D8A328}" name="Municipio" dataDxfId="15" totalsRowDxfId="14"/>
    <tableColumn id="21" xr3:uid="{B25C3704-AACF-4516-8066-559084057217}" name="Fecha de inicio de construcción" dataDxfId="13" totalsRowDxfId="12"/>
    <tableColumn id="14" xr3:uid="{14AF07A4-E603-4A83-A36A-9D2E92A9C796}" name="Fecha de entrada en operación" dataDxfId="11" totalsRowDxfId="10"/>
    <tableColumn id="4" xr3:uid="{57B85CD1-D4DC-41A6-B1FB-B793211B23A2}" name="Columna1" dataDxfId="9" totalsRowDxfId="8"/>
    <tableColumn id="6" xr3:uid="{778871E4-4CFE-4C62-BE0F-823E3E0E5A29}" name="Columna2" dataDxfId="7" totalsRowDxfId="6"/>
    <tableColumn id="15" xr3:uid="{25850AA0-576C-421A-A15A-4752889786C7}" name="Columna3" dataDxfId="5" totalsRowDxfId="4"/>
    <tableColumn id="16" xr3:uid="{10B8C8E6-7B11-4F76-98B4-FEC7FC9DEC3F}" name="Columna4" dataDxfId="3" totalsRowDxfId="2"/>
    <tableColumn id="17" xr3:uid="{3EB26B4E-9833-427B-85EF-BC5B87B981F2}" name="Columna5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3B70-DB37-4D73-A923-80FBEF89F2A4}">
  <dimension ref="A1:Y296"/>
  <sheetViews>
    <sheetView tabSelected="1" topLeftCell="B62" zoomScale="55" zoomScaleNormal="55" workbookViewId="0">
      <selection activeCell="B2" sqref="B2:Q2"/>
    </sheetView>
  </sheetViews>
  <sheetFormatPr baseColWidth="10" defaultColWidth="0" defaultRowHeight="0" customHeight="1" zeroHeight="1"/>
  <cols>
    <col min="1" max="1" width="37.08984375" customWidth="1"/>
    <col min="2" max="2" width="17.1796875" style="2" bestFit="1" customWidth="1"/>
    <col min="3" max="3" width="34.08984375" style="1" customWidth="1"/>
    <col min="4" max="4" width="17.1796875" style="1" customWidth="1"/>
    <col min="5" max="6" width="17.1796875" style="1" hidden="1" customWidth="1"/>
    <col min="7" max="7" width="17.1796875" style="1" customWidth="1"/>
    <col min="8" max="8" width="80.90625" style="2" bestFit="1" customWidth="1"/>
    <col min="9" max="9" width="13.81640625" style="2" customWidth="1"/>
    <col min="10" max="10" width="16.90625" style="2" customWidth="1"/>
    <col min="11" max="11" width="17.90625" style="2" customWidth="1"/>
    <col min="12" max="12" width="21.36328125" style="2" customWidth="1"/>
    <col min="13" max="13" width="18.90625" style="3" customWidth="1"/>
    <col min="14" max="14" width="24.81640625" style="2" bestFit="1" customWidth="1"/>
    <col min="15" max="15" width="20.6328125" style="2" bestFit="1" customWidth="1"/>
    <col min="16" max="16" width="16.90625" style="2" customWidth="1"/>
    <col min="17" max="17" width="19" style="1" bestFit="1" customWidth="1"/>
    <col min="18" max="16384" width="8.90625" hidden="1"/>
  </cols>
  <sheetData>
    <row r="1" spans="1:25" ht="14.5" hidden="1">
      <c r="A1" s="9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25" ht="192" customHeight="1">
      <c r="A2" s="9"/>
      <c r="B2" s="18" t="s">
        <v>234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5"/>
      <c r="S2" s="15"/>
      <c r="T2" s="15"/>
      <c r="U2" s="15"/>
      <c r="V2" s="15"/>
      <c r="W2" s="15"/>
      <c r="X2" s="15"/>
      <c r="Y2" s="15"/>
    </row>
    <row r="3" spans="1:25" s="12" customFormat="1" ht="51.5" customHeight="1">
      <c r="A3" s="13"/>
      <c r="B3" s="2" t="s">
        <v>100</v>
      </c>
      <c r="C3" s="1" t="s">
        <v>99</v>
      </c>
      <c r="D3" s="1" t="s">
        <v>98</v>
      </c>
      <c r="E3" s="14" t="s">
        <v>232</v>
      </c>
      <c r="F3" s="14" t="s">
        <v>233</v>
      </c>
      <c r="G3" s="14" t="s">
        <v>97</v>
      </c>
      <c r="H3" s="2" t="s">
        <v>96</v>
      </c>
      <c r="I3" s="2" t="s">
        <v>95</v>
      </c>
      <c r="J3" s="2" t="s">
        <v>94</v>
      </c>
      <c r="K3" s="2" t="s">
        <v>93</v>
      </c>
      <c r="L3" s="2" t="s">
        <v>92</v>
      </c>
      <c r="M3" s="3" t="s">
        <v>91</v>
      </c>
      <c r="N3" s="2" t="s">
        <v>90</v>
      </c>
      <c r="O3" s="2" t="s">
        <v>89</v>
      </c>
      <c r="P3" s="2" t="s">
        <v>88</v>
      </c>
      <c r="Q3" s="1" t="s">
        <v>87</v>
      </c>
      <c r="R3" s="2" t="s">
        <v>86</v>
      </c>
      <c r="S3" s="2" t="s">
        <v>85</v>
      </c>
      <c r="T3" s="2" t="s">
        <v>84</v>
      </c>
      <c r="U3" s="2" t="s">
        <v>83</v>
      </c>
      <c r="V3" s="2" t="s">
        <v>82</v>
      </c>
    </row>
    <row r="4" spans="1:25" ht="13" customHeight="1">
      <c r="A4" s="9"/>
      <c r="B4" s="10">
        <v>3880</v>
      </c>
      <c r="C4" s="2" t="s">
        <v>103</v>
      </c>
      <c r="D4" s="1">
        <v>46080</v>
      </c>
      <c r="E4" s="1">
        <f t="shared" ref="E4:E35" si="0">IF(C4="Resolución UPME No. 749 de 2025",IF(I4="FASE 3", IF(ISBLANK(P4),D4+365,MIN(P4+365,P4)), IF(ISBLANK(P4),D4+730,MIN(D4+730,P4))),IF(I4="FASE 1", IF(ISBLANK(P4),D4+730,MIN(D4+730,P4)),IF(ISBLANK(P4),D4+365,MIN(D4+365,P4))))</f>
        <v>46653</v>
      </c>
      <c r="F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46653</v>
      </c>
      <c r="G4" s="1">
        <v>46653</v>
      </c>
      <c r="H4" s="2" t="s">
        <v>108</v>
      </c>
      <c r="I4" s="2" t="s">
        <v>109</v>
      </c>
      <c r="J4" s="2" t="s">
        <v>110</v>
      </c>
      <c r="K4" s="2" t="s">
        <v>111</v>
      </c>
      <c r="L4" s="8" t="s">
        <v>112</v>
      </c>
      <c r="M4" s="7">
        <v>200</v>
      </c>
      <c r="N4" s="2" t="s">
        <v>163</v>
      </c>
      <c r="O4" s="2" t="s">
        <v>164</v>
      </c>
      <c r="P4" s="1">
        <v>46653</v>
      </c>
      <c r="Q4" s="1">
        <v>47422</v>
      </c>
      <c r="R4" s="2"/>
      <c r="S4" s="2"/>
      <c r="T4" s="2"/>
      <c r="U4" s="2"/>
      <c r="V4" s="2">
        <v>2032</v>
      </c>
    </row>
    <row r="5" spans="1:25" ht="13" customHeight="1">
      <c r="A5" s="9"/>
      <c r="B5" s="10">
        <v>3882</v>
      </c>
      <c r="C5" s="2" t="s">
        <v>103</v>
      </c>
      <c r="D5" s="1">
        <v>46071</v>
      </c>
      <c r="E5" s="1">
        <f t="shared" si="0"/>
        <v>46801</v>
      </c>
      <c r="F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46801</v>
      </c>
      <c r="G5" s="1">
        <v>46801</v>
      </c>
      <c r="H5" s="2" t="s">
        <v>114</v>
      </c>
      <c r="I5" s="2" t="s">
        <v>109</v>
      </c>
      <c r="J5" s="2" t="s">
        <v>110</v>
      </c>
      <c r="K5" s="2" t="s">
        <v>111</v>
      </c>
      <c r="L5" s="2" t="s">
        <v>112</v>
      </c>
      <c r="M5" s="3">
        <v>99.9</v>
      </c>
      <c r="N5" s="2" t="s">
        <v>7</v>
      </c>
      <c r="O5" s="2" t="s">
        <v>167</v>
      </c>
      <c r="P5" s="1">
        <v>46935</v>
      </c>
      <c r="Q5" s="1">
        <v>47453</v>
      </c>
      <c r="R5" s="2"/>
      <c r="S5" s="2"/>
      <c r="T5" s="2"/>
      <c r="U5" s="2"/>
      <c r="V5" s="2"/>
    </row>
    <row r="6" spans="1:25" ht="13" customHeight="1">
      <c r="A6" s="9"/>
      <c r="B6" s="10">
        <v>3883</v>
      </c>
      <c r="C6" s="2" t="s">
        <v>103</v>
      </c>
      <c r="D6" s="1">
        <v>46071</v>
      </c>
      <c r="E6" s="1">
        <f t="shared" si="0"/>
        <v>46801</v>
      </c>
      <c r="F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46801</v>
      </c>
      <c r="G6" s="1">
        <v>46801</v>
      </c>
      <c r="H6" s="2" t="s">
        <v>113</v>
      </c>
      <c r="I6" s="2" t="s">
        <v>109</v>
      </c>
      <c r="J6" s="2" t="s">
        <v>110</v>
      </c>
      <c r="K6" s="2" t="s">
        <v>111</v>
      </c>
      <c r="L6" s="2" t="s">
        <v>112</v>
      </c>
      <c r="M6" s="3">
        <v>50</v>
      </c>
      <c r="N6" s="2" t="s">
        <v>165</v>
      </c>
      <c r="O6" s="2" t="s">
        <v>166</v>
      </c>
      <c r="P6" s="1">
        <v>46935</v>
      </c>
      <c r="Q6" s="1">
        <v>47453</v>
      </c>
      <c r="R6" s="2"/>
      <c r="S6" s="2"/>
      <c r="T6" s="2"/>
      <c r="U6" s="2"/>
      <c r="V6" s="2">
        <v>2033</v>
      </c>
    </row>
    <row r="7" spans="1:25" ht="13" customHeight="1">
      <c r="A7" s="9"/>
      <c r="B7" s="10">
        <v>3879</v>
      </c>
      <c r="C7" s="2" t="s">
        <v>103</v>
      </c>
      <c r="D7" s="1">
        <v>46070</v>
      </c>
      <c r="E7" s="1">
        <f t="shared" si="0"/>
        <v>46203</v>
      </c>
      <c r="F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46203</v>
      </c>
      <c r="G7" s="1">
        <v>46203</v>
      </c>
      <c r="H7" s="2" t="s">
        <v>115</v>
      </c>
      <c r="I7" s="2" t="s">
        <v>116</v>
      </c>
      <c r="J7" s="2" t="s">
        <v>117</v>
      </c>
      <c r="K7" s="2" t="s">
        <v>118</v>
      </c>
      <c r="L7" s="2" t="s">
        <v>119</v>
      </c>
      <c r="M7" s="3">
        <v>9.68</v>
      </c>
      <c r="N7" s="2" t="s">
        <v>0</v>
      </c>
      <c r="O7" s="2" t="s">
        <v>168</v>
      </c>
      <c r="P7" s="1">
        <v>46203</v>
      </c>
      <c r="Q7" s="1">
        <v>46386</v>
      </c>
      <c r="R7" s="2"/>
      <c r="S7" s="2"/>
      <c r="T7" s="2"/>
      <c r="U7" s="2"/>
      <c r="V7" s="2"/>
    </row>
    <row r="8" spans="1:25" ht="13" customHeight="1">
      <c r="A8" s="9"/>
      <c r="B8" s="10">
        <v>3878</v>
      </c>
      <c r="C8" s="2" t="s">
        <v>103</v>
      </c>
      <c r="D8" s="1">
        <v>46058</v>
      </c>
      <c r="E8" s="1">
        <f t="shared" si="0"/>
        <v>46234</v>
      </c>
      <c r="F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46234</v>
      </c>
      <c r="G8" s="1">
        <v>46234</v>
      </c>
      <c r="H8" s="2" t="s">
        <v>120</v>
      </c>
      <c r="I8" s="2" t="s">
        <v>109</v>
      </c>
      <c r="J8" s="2" t="s">
        <v>110</v>
      </c>
      <c r="K8" s="2" t="s">
        <v>111</v>
      </c>
      <c r="L8" s="8" t="s">
        <v>112</v>
      </c>
      <c r="M8" s="7">
        <v>99.9</v>
      </c>
      <c r="N8" s="2" t="s">
        <v>4</v>
      </c>
      <c r="O8" s="2" t="s">
        <v>169</v>
      </c>
      <c r="P8" s="1">
        <v>46234</v>
      </c>
      <c r="Q8" s="1">
        <v>46599</v>
      </c>
      <c r="R8" s="2"/>
      <c r="S8" s="2"/>
      <c r="T8" s="2"/>
      <c r="U8" s="2"/>
      <c r="V8" s="2">
        <v>2027</v>
      </c>
    </row>
    <row r="9" spans="1:25" ht="13" customHeight="1">
      <c r="A9" s="9"/>
      <c r="B9" s="10">
        <v>3875</v>
      </c>
      <c r="C9" s="2" t="s">
        <v>103</v>
      </c>
      <c r="D9" s="1">
        <v>46058</v>
      </c>
      <c r="E9" s="1">
        <f t="shared" si="0"/>
        <v>46788</v>
      </c>
      <c r="F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46788</v>
      </c>
      <c r="G9" s="1">
        <v>46788</v>
      </c>
      <c r="H9" s="2" t="s">
        <v>121</v>
      </c>
      <c r="I9" s="2" t="s">
        <v>109</v>
      </c>
      <c r="J9" s="2" t="s">
        <v>110</v>
      </c>
      <c r="K9" s="2" t="s">
        <v>111</v>
      </c>
      <c r="L9" s="2" t="s">
        <v>112</v>
      </c>
      <c r="M9" s="3">
        <v>100</v>
      </c>
      <c r="N9" s="2" t="s">
        <v>4</v>
      </c>
      <c r="O9" s="2" t="s">
        <v>170</v>
      </c>
      <c r="P9" s="1">
        <v>46935</v>
      </c>
      <c r="Q9" s="1">
        <v>47483</v>
      </c>
      <c r="R9" s="2"/>
      <c r="S9" s="2"/>
      <c r="T9" s="2"/>
      <c r="U9" s="2"/>
      <c r="V9" s="2">
        <v>2028</v>
      </c>
    </row>
    <row r="10" spans="1:25" ht="13" customHeight="1">
      <c r="A10" s="9"/>
      <c r="B10" s="10">
        <v>3877</v>
      </c>
      <c r="C10" s="2" t="s">
        <v>103</v>
      </c>
      <c r="D10" s="1">
        <v>46052</v>
      </c>
      <c r="E10" s="1">
        <f t="shared" si="0"/>
        <v>46782</v>
      </c>
      <c r="F1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46782</v>
      </c>
      <c r="G10" s="1">
        <v>46782</v>
      </c>
      <c r="H10" s="2" t="s">
        <v>126</v>
      </c>
      <c r="I10" s="2" t="s">
        <v>109</v>
      </c>
      <c r="J10" s="2" t="s">
        <v>110</v>
      </c>
      <c r="K10" s="2" t="s">
        <v>111</v>
      </c>
      <c r="L10" s="2" t="s">
        <v>112</v>
      </c>
      <c r="M10" s="3">
        <v>175</v>
      </c>
      <c r="N10" s="2" t="s">
        <v>163</v>
      </c>
      <c r="O10" s="2" t="s">
        <v>173</v>
      </c>
      <c r="P10" s="1">
        <v>46934</v>
      </c>
      <c r="Q10" s="1">
        <v>47452</v>
      </c>
      <c r="R10" s="2"/>
      <c r="S10" s="2"/>
      <c r="T10" s="2"/>
      <c r="U10" s="2"/>
      <c r="V10" s="2">
        <v>2030</v>
      </c>
    </row>
    <row r="11" spans="1:25" ht="13" customHeight="1">
      <c r="A11" s="9"/>
      <c r="B11" s="10">
        <v>3876</v>
      </c>
      <c r="C11" s="2" t="s">
        <v>103</v>
      </c>
      <c r="D11" s="1">
        <v>46052</v>
      </c>
      <c r="E11" s="1">
        <f t="shared" si="0"/>
        <v>46721</v>
      </c>
      <c r="F1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46721</v>
      </c>
      <c r="G11" s="1">
        <v>46721</v>
      </c>
      <c r="H11" s="2" t="s">
        <v>122</v>
      </c>
      <c r="I11" s="2" t="s">
        <v>109</v>
      </c>
      <c r="J11" s="2" t="s">
        <v>123</v>
      </c>
      <c r="K11" s="2" t="s">
        <v>124</v>
      </c>
      <c r="L11" s="2" t="s">
        <v>125</v>
      </c>
      <c r="M11" s="3">
        <v>150</v>
      </c>
      <c r="N11" s="2" t="s">
        <v>171</v>
      </c>
      <c r="O11" s="2" t="s">
        <v>172</v>
      </c>
      <c r="P11" s="1">
        <v>46721</v>
      </c>
      <c r="Q11" s="1">
        <v>47452</v>
      </c>
      <c r="R11" s="2"/>
      <c r="S11" s="2"/>
      <c r="T11" s="2"/>
      <c r="U11" s="2"/>
      <c r="V11" s="2">
        <v>2032</v>
      </c>
    </row>
    <row r="12" spans="1:25" ht="13" customHeight="1">
      <c r="A12" s="9"/>
      <c r="B12" s="10">
        <v>3869</v>
      </c>
      <c r="C12" s="2" t="s">
        <v>103</v>
      </c>
      <c r="D12" s="1">
        <v>46049</v>
      </c>
      <c r="E12" s="1">
        <f t="shared" si="0"/>
        <v>46174</v>
      </c>
      <c r="F1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12" s="1">
        <v>46174</v>
      </c>
      <c r="H12" s="2" t="s">
        <v>81</v>
      </c>
      <c r="I12" s="2" t="s">
        <v>109</v>
      </c>
      <c r="J12" s="2" t="s">
        <v>128</v>
      </c>
      <c r="K12" s="2" t="s">
        <v>129</v>
      </c>
      <c r="L12" s="8" t="s">
        <v>130</v>
      </c>
      <c r="M12" s="7">
        <v>153</v>
      </c>
      <c r="N12" s="2" t="s">
        <v>176</v>
      </c>
      <c r="O12" s="2" t="s">
        <v>177</v>
      </c>
      <c r="P12" s="1">
        <v>46174</v>
      </c>
      <c r="Q12" s="1">
        <v>46387</v>
      </c>
      <c r="R12" s="2"/>
      <c r="S12" s="2"/>
      <c r="T12" s="2"/>
      <c r="U12" s="2"/>
      <c r="V12" s="2" t="e">
        <v>#VALUE!</v>
      </c>
    </row>
    <row r="13" spans="1:25" ht="13" customHeight="1">
      <c r="A13" s="9"/>
      <c r="B13" s="10">
        <v>3652</v>
      </c>
      <c r="C13" s="2" t="s">
        <v>103</v>
      </c>
      <c r="D13" s="1">
        <v>46049</v>
      </c>
      <c r="E13" s="1">
        <f t="shared" si="0"/>
        <v>46569</v>
      </c>
      <c r="F1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46569</v>
      </c>
      <c r="G13" s="1">
        <v>46569</v>
      </c>
      <c r="H13" s="2" t="s">
        <v>106</v>
      </c>
      <c r="I13" s="2" t="s">
        <v>109</v>
      </c>
      <c r="J13" s="2" t="s">
        <v>110</v>
      </c>
      <c r="K13" s="2" t="s">
        <v>111</v>
      </c>
      <c r="L13" s="8" t="s">
        <v>112</v>
      </c>
      <c r="M13" s="7">
        <v>180</v>
      </c>
      <c r="N13" s="2" t="s">
        <v>7</v>
      </c>
      <c r="O13" s="2" t="s">
        <v>42</v>
      </c>
      <c r="P13" s="1">
        <v>46569</v>
      </c>
      <c r="Q13" s="1">
        <v>46813</v>
      </c>
      <c r="R13" s="2"/>
      <c r="S13" s="2"/>
      <c r="T13" s="2"/>
      <c r="U13" s="2"/>
      <c r="V13" s="2">
        <v>2026</v>
      </c>
    </row>
    <row r="14" spans="1:25" ht="13" customHeight="1">
      <c r="A14" s="9"/>
      <c r="B14" s="10">
        <v>3874</v>
      </c>
      <c r="C14" s="2" t="s">
        <v>103</v>
      </c>
      <c r="D14" s="1">
        <v>46049</v>
      </c>
      <c r="E14" s="1">
        <f t="shared" si="0"/>
        <v>46188</v>
      </c>
      <c r="F1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46188</v>
      </c>
      <c r="G14" s="1">
        <v>46188</v>
      </c>
      <c r="H14" s="2" t="s">
        <v>105</v>
      </c>
      <c r="I14" s="2" t="s">
        <v>109</v>
      </c>
      <c r="J14" s="2" t="s">
        <v>110</v>
      </c>
      <c r="K14" s="2" t="s">
        <v>111</v>
      </c>
      <c r="L14" s="8" t="s">
        <v>112</v>
      </c>
      <c r="M14" s="7">
        <v>19.899999999999999</v>
      </c>
      <c r="N14" s="2" t="s">
        <v>176</v>
      </c>
      <c r="O14" s="2" t="s">
        <v>179</v>
      </c>
      <c r="P14" s="1">
        <v>46188</v>
      </c>
      <c r="Q14" s="1">
        <v>46630</v>
      </c>
      <c r="R14" s="2"/>
      <c r="S14" s="2"/>
      <c r="T14" s="2"/>
      <c r="U14" s="2"/>
      <c r="V14" s="2">
        <v>2028</v>
      </c>
    </row>
    <row r="15" spans="1:25" ht="13" customHeight="1">
      <c r="A15" s="9"/>
      <c r="B15" s="10">
        <v>3862</v>
      </c>
      <c r="C15" s="2" t="s">
        <v>103</v>
      </c>
      <c r="D15" s="1">
        <v>46049</v>
      </c>
      <c r="E15" s="1">
        <f t="shared" si="0"/>
        <v>46142</v>
      </c>
      <c r="F1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46142</v>
      </c>
      <c r="G15" s="1">
        <v>46142</v>
      </c>
      <c r="H15" s="2" t="s">
        <v>127</v>
      </c>
      <c r="I15" s="2" t="s">
        <v>109</v>
      </c>
      <c r="J15" s="2" t="s">
        <v>110</v>
      </c>
      <c r="K15" s="2" t="s">
        <v>111</v>
      </c>
      <c r="L15" s="8" t="s">
        <v>112</v>
      </c>
      <c r="M15" s="7">
        <v>9.9</v>
      </c>
      <c r="N15" s="2" t="s">
        <v>174</v>
      </c>
      <c r="O15" s="2" t="s">
        <v>175</v>
      </c>
      <c r="P15" s="1">
        <v>46142</v>
      </c>
      <c r="Q15" s="1">
        <v>46387</v>
      </c>
      <c r="R15" s="2"/>
      <c r="S15" s="2"/>
      <c r="T15" s="2"/>
      <c r="U15" s="2"/>
      <c r="V15" s="2" t="e">
        <v>#VALUE!</v>
      </c>
    </row>
    <row r="16" spans="1:25" ht="13" customHeight="1">
      <c r="A16" s="9"/>
      <c r="B16" s="2">
        <v>3873</v>
      </c>
      <c r="C16" s="2" t="s">
        <v>103</v>
      </c>
      <c r="D16" s="1">
        <v>46049</v>
      </c>
      <c r="E16" s="1">
        <f t="shared" si="0"/>
        <v>46264</v>
      </c>
      <c r="F1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46264</v>
      </c>
      <c r="G16" s="1">
        <v>46264</v>
      </c>
      <c r="H16" s="2" t="s">
        <v>131</v>
      </c>
      <c r="I16" s="2" t="s">
        <v>109</v>
      </c>
      <c r="J16" s="2" t="s">
        <v>110</v>
      </c>
      <c r="K16" s="2" t="s">
        <v>111</v>
      </c>
      <c r="L16" s="2" t="s">
        <v>112</v>
      </c>
      <c r="M16" s="3">
        <v>15.6</v>
      </c>
      <c r="N16" s="2" t="s">
        <v>4</v>
      </c>
      <c r="O16" s="2" t="s">
        <v>178</v>
      </c>
      <c r="P16" s="1">
        <v>46264</v>
      </c>
      <c r="Q16" s="1">
        <v>46752</v>
      </c>
      <c r="R16" s="2" t="s">
        <v>3</v>
      </c>
      <c r="S16" s="2" t="s">
        <v>2</v>
      </c>
      <c r="T16" s="2" t="s">
        <v>1</v>
      </c>
      <c r="U16" s="2">
        <v>47483</v>
      </c>
      <c r="V16" s="2" t="e">
        <v>#VALUE!</v>
      </c>
    </row>
    <row r="17" spans="1:22" ht="13" customHeight="1">
      <c r="A17" s="9"/>
      <c r="B17" s="10">
        <v>3546</v>
      </c>
      <c r="C17" s="2" t="s">
        <v>103</v>
      </c>
      <c r="D17" s="1">
        <v>46048</v>
      </c>
      <c r="E17" s="1">
        <f t="shared" si="0"/>
        <v>46569</v>
      </c>
      <c r="F1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46569</v>
      </c>
      <c r="G17" s="1">
        <v>46569</v>
      </c>
      <c r="H17" s="2" t="s">
        <v>74</v>
      </c>
      <c r="I17" s="2" t="s">
        <v>109</v>
      </c>
      <c r="J17" s="2" t="s">
        <v>110</v>
      </c>
      <c r="K17" s="2" t="s">
        <v>111</v>
      </c>
      <c r="L17" s="8" t="s">
        <v>112</v>
      </c>
      <c r="M17" s="7">
        <v>135</v>
      </c>
      <c r="N17" s="2" t="s">
        <v>163</v>
      </c>
      <c r="O17" s="2" t="s">
        <v>182</v>
      </c>
      <c r="P17" s="1">
        <v>46569</v>
      </c>
      <c r="Q17" s="1">
        <v>47087</v>
      </c>
      <c r="R17" s="2"/>
      <c r="S17" s="2"/>
      <c r="T17" s="2"/>
      <c r="U17" s="2"/>
      <c r="V17" s="2">
        <v>2026</v>
      </c>
    </row>
    <row r="18" spans="1:22" ht="13" customHeight="1">
      <c r="A18" s="9"/>
      <c r="B18" s="10">
        <v>3860</v>
      </c>
      <c r="C18" s="2" t="s">
        <v>103</v>
      </c>
      <c r="D18" s="1">
        <v>46048</v>
      </c>
      <c r="E18" s="1">
        <f t="shared" si="0"/>
        <v>46204</v>
      </c>
      <c r="F1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46204</v>
      </c>
      <c r="G18" s="1">
        <v>46204</v>
      </c>
      <c r="H18" s="2" t="s">
        <v>135</v>
      </c>
      <c r="I18" s="2" t="s">
        <v>109</v>
      </c>
      <c r="J18" s="2" t="s">
        <v>128</v>
      </c>
      <c r="K18" s="2" t="s">
        <v>136</v>
      </c>
      <c r="L18" s="8" t="s">
        <v>130</v>
      </c>
      <c r="M18" s="7">
        <v>150</v>
      </c>
      <c r="N18" s="2" t="s">
        <v>185</v>
      </c>
      <c r="O18" s="2" t="s">
        <v>186</v>
      </c>
      <c r="P18" s="1">
        <v>46204</v>
      </c>
      <c r="Q18" s="1">
        <v>47331</v>
      </c>
      <c r="R18" s="2"/>
      <c r="S18" s="2"/>
      <c r="T18" s="2"/>
      <c r="U18" s="2"/>
      <c r="V18" s="2">
        <v>2027</v>
      </c>
    </row>
    <row r="19" spans="1:22" ht="13" customHeight="1">
      <c r="A19" s="9"/>
      <c r="B19" s="10">
        <v>3870</v>
      </c>
      <c r="C19" s="2" t="s">
        <v>103</v>
      </c>
      <c r="D19" s="1">
        <v>46048</v>
      </c>
      <c r="E19" s="1">
        <f t="shared" si="0"/>
        <v>46539</v>
      </c>
      <c r="F1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46539</v>
      </c>
      <c r="G19" s="1">
        <v>46539</v>
      </c>
      <c r="H19" s="2" t="s">
        <v>139</v>
      </c>
      <c r="I19" s="2" t="s">
        <v>109</v>
      </c>
      <c r="J19" s="2" t="s">
        <v>110</v>
      </c>
      <c r="K19" s="2" t="s">
        <v>111</v>
      </c>
      <c r="L19" s="2" t="s">
        <v>112</v>
      </c>
      <c r="M19" s="3">
        <v>99.9</v>
      </c>
      <c r="N19" s="2" t="s">
        <v>188</v>
      </c>
      <c r="O19" s="2" t="s">
        <v>189</v>
      </c>
      <c r="P19" s="1">
        <v>46539</v>
      </c>
      <c r="Q19" s="1">
        <v>47453</v>
      </c>
      <c r="R19" s="2"/>
      <c r="S19" s="2"/>
      <c r="T19" s="2"/>
      <c r="U19" s="2"/>
      <c r="V19" s="2">
        <v>2029</v>
      </c>
    </row>
    <row r="20" spans="1:22" ht="13" customHeight="1">
      <c r="A20" s="9"/>
      <c r="B20" s="10">
        <v>3872</v>
      </c>
      <c r="C20" s="2" t="s">
        <v>103</v>
      </c>
      <c r="D20" s="1">
        <v>46048</v>
      </c>
      <c r="E20" s="1">
        <f t="shared" si="0"/>
        <v>46539</v>
      </c>
      <c r="F2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46539</v>
      </c>
      <c r="G20" s="1">
        <v>46539</v>
      </c>
      <c r="H20" s="2" t="s">
        <v>141</v>
      </c>
      <c r="I20" s="2" t="s">
        <v>109</v>
      </c>
      <c r="J20" s="2" t="s">
        <v>110</v>
      </c>
      <c r="K20" s="2" t="s">
        <v>111</v>
      </c>
      <c r="L20" s="8" t="s">
        <v>112</v>
      </c>
      <c r="M20" s="7">
        <v>80</v>
      </c>
      <c r="N20" s="2" t="s">
        <v>188</v>
      </c>
      <c r="O20" s="2" t="s">
        <v>191</v>
      </c>
      <c r="P20" s="1">
        <v>46539</v>
      </c>
      <c r="Q20" s="1">
        <v>47453</v>
      </c>
      <c r="R20" s="2"/>
      <c r="S20" s="2"/>
      <c r="T20" s="2"/>
      <c r="U20" s="2"/>
      <c r="V20" s="2">
        <v>2029</v>
      </c>
    </row>
    <row r="21" spans="1:22" ht="13" customHeight="1">
      <c r="A21" s="9"/>
      <c r="B21" s="10">
        <v>3871</v>
      </c>
      <c r="C21" s="2" t="s">
        <v>103</v>
      </c>
      <c r="D21" s="1">
        <v>46048</v>
      </c>
      <c r="E21" s="1">
        <f t="shared" si="0"/>
        <v>46778</v>
      </c>
      <c r="F2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46778</v>
      </c>
      <c r="G21" s="1">
        <v>46778</v>
      </c>
      <c r="H21" s="2" t="s">
        <v>140</v>
      </c>
      <c r="I21" s="2" t="s">
        <v>109</v>
      </c>
      <c r="J21" s="2" t="s">
        <v>110</v>
      </c>
      <c r="K21" s="2" t="s">
        <v>111</v>
      </c>
      <c r="L21" s="2" t="s">
        <v>112</v>
      </c>
      <c r="M21" s="3">
        <v>99.9</v>
      </c>
      <c r="N21" s="2" t="s">
        <v>188</v>
      </c>
      <c r="O21" s="2" t="s">
        <v>190</v>
      </c>
      <c r="P21" s="1">
        <v>46935</v>
      </c>
      <c r="Q21" s="1">
        <v>47453</v>
      </c>
      <c r="R21" s="2" t="s">
        <v>0</v>
      </c>
      <c r="S21" s="2" t="s">
        <v>12</v>
      </c>
      <c r="T21" s="2" t="s">
        <v>11</v>
      </c>
      <c r="U21" s="2">
        <v>46752</v>
      </c>
      <c r="V21" s="2">
        <v>2030</v>
      </c>
    </row>
    <row r="22" spans="1:22" ht="13" customHeight="1">
      <c r="A22" s="9"/>
      <c r="B22" s="10">
        <v>3867</v>
      </c>
      <c r="C22" s="2" t="s">
        <v>103</v>
      </c>
      <c r="D22" s="1">
        <v>46048</v>
      </c>
      <c r="E22" s="1">
        <f t="shared" si="0"/>
        <v>46204</v>
      </c>
      <c r="F2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46204</v>
      </c>
      <c r="G22" s="1">
        <v>46204</v>
      </c>
      <c r="H22" s="2" t="s">
        <v>138</v>
      </c>
      <c r="I22" s="2" t="s">
        <v>109</v>
      </c>
      <c r="J22" s="2" t="s">
        <v>110</v>
      </c>
      <c r="K22" s="2" t="s">
        <v>111</v>
      </c>
      <c r="L22" s="8" t="s">
        <v>112</v>
      </c>
      <c r="M22" s="7">
        <v>750</v>
      </c>
      <c r="N22" s="2" t="s">
        <v>171</v>
      </c>
      <c r="O22" s="2" t="s">
        <v>187</v>
      </c>
      <c r="P22" s="1">
        <v>46204</v>
      </c>
      <c r="Q22" s="1">
        <v>46752</v>
      </c>
      <c r="R22" s="2"/>
      <c r="S22" s="2"/>
      <c r="T22" s="2"/>
      <c r="U22" s="2"/>
      <c r="V22" s="2">
        <v>2027</v>
      </c>
    </row>
    <row r="23" spans="1:22" ht="13" customHeight="1">
      <c r="A23" s="9"/>
      <c r="B23" s="10">
        <v>1670</v>
      </c>
      <c r="C23" s="2" t="s">
        <v>103</v>
      </c>
      <c r="D23" s="1">
        <v>46048</v>
      </c>
      <c r="E23" s="1">
        <f t="shared" si="0"/>
        <v>46569</v>
      </c>
      <c r="F2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46569</v>
      </c>
      <c r="G23" s="1">
        <v>46569</v>
      </c>
      <c r="H23" s="2" t="s">
        <v>132</v>
      </c>
      <c r="I23" s="2" t="s">
        <v>109</v>
      </c>
      <c r="J23" s="2" t="s">
        <v>110</v>
      </c>
      <c r="K23" s="2" t="s">
        <v>111</v>
      </c>
      <c r="L23" s="2" t="s">
        <v>112</v>
      </c>
      <c r="M23" s="3">
        <v>170</v>
      </c>
      <c r="N23" s="2" t="s">
        <v>180</v>
      </c>
      <c r="O23" s="2" t="s">
        <v>181</v>
      </c>
      <c r="P23" s="1">
        <v>46569</v>
      </c>
      <c r="Q23" s="1">
        <v>46912</v>
      </c>
      <c r="R23" s="2"/>
      <c r="S23" s="2"/>
      <c r="T23" s="2"/>
      <c r="U23" s="2"/>
      <c r="V23" s="2">
        <v>2032</v>
      </c>
    </row>
    <row r="24" spans="1:22" ht="13" customHeight="1">
      <c r="A24" s="9"/>
      <c r="B24" s="10">
        <v>3859</v>
      </c>
      <c r="C24" s="2" t="s">
        <v>103</v>
      </c>
      <c r="D24" s="1">
        <v>46048</v>
      </c>
      <c r="E24" s="1">
        <f t="shared" si="0"/>
        <v>46142</v>
      </c>
      <c r="F2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46142</v>
      </c>
      <c r="G24" s="1">
        <v>46142</v>
      </c>
      <c r="H24" s="2" t="s">
        <v>134</v>
      </c>
      <c r="I24" s="2" t="s">
        <v>109</v>
      </c>
      <c r="J24" s="2" t="s">
        <v>110</v>
      </c>
      <c r="K24" s="2" t="s">
        <v>111</v>
      </c>
      <c r="L24" s="8" t="s">
        <v>112</v>
      </c>
      <c r="M24" s="7">
        <v>9.9</v>
      </c>
      <c r="N24" s="2" t="s">
        <v>174</v>
      </c>
      <c r="O24" s="2" t="s">
        <v>175</v>
      </c>
      <c r="P24" s="1">
        <v>46142</v>
      </c>
      <c r="Q24" s="1">
        <v>46371</v>
      </c>
      <c r="R24" s="2"/>
      <c r="S24" s="2"/>
      <c r="T24" s="2"/>
      <c r="U24" s="2"/>
      <c r="V24" s="2">
        <v>2029</v>
      </c>
    </row>
    <row r="25" spans="1:22" ht="13" customHeight="1">
      <c r="A25" s="9"/>
      <c r="B25" s="10">
        <v>3861</v>
      </c>
      <c r="C25" s="2" t="s">
        <v>103</v>
      </c>
      <c r="D25" s="1">
        <v>46048</v>
      </c>
      <c r="E25" s="1">
        <f t="shared" si="0"/>
        <v>46142</v>
      </c>
      <c r="F2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46142</v>
      </c>
      <c r="G25" s="1">
        <v>46142</v>
      </c>
      <c r="H25" s="2" t="s">
        <v>137</v>
      </c>
      <c r="I25" s="2" t="s">
        <v>109</v>
      </c>
      <c r="J25" s="2" t="s">
        <v>110</v>
      </c>
      <c r="K25" s="2" t="s">
        <v>111</v>
      </c>
      <c r="L25" s="8" t="s">
        <v>112</v>
      </c>
      <c r="M25" s="7">
        <v>4.99</v>
      </c>
      <c r="N25" s="2" t="s">
        <v>174</v>
      </c>
      <c r="O25" s="2" t="s">
        <v>175</v>
      </c>
      <c r="P25" s="1">
        <v>46142</v>
      </c>
      <c r="Q25" s="1">
        <v>46371</v>
      </c>
      <c r="R25" s="2"/>
      <c r="S25" s="2"/>
      <c r="T25" s="2"/>
      <c r="U25" s="2"/>
      <c r="V25" s="2">
        <v>2027</v>
      </c>
    </row>
    <row r="26" spans="1:22" ht="13" customHeight="1">
      <c r="A26" s="9"/>
      <c r="B26" s="10">
        <v>3724</v>
      </c>
      <c r="C26" s="2" t="s">
        <v>103</v>
      </c>
      <c r="D26" s="1">
        <v>46048</v>
      </c>
      <c r="E26" s="1">
        <f t="shared" si="0"/>
        <v>46143</v>
      </c>
      <c r="F2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46143</v>
      </c>
      <c r="G26" s="1">
        <v>46143</v>
      </c>
      <c r="H26" s="2" t="s">
        <v>107</v>
      </c>
      <c r="I26" s="2" t="s">
        <v>109</v>
      </c>
      <c r="J26" s="2" t="s">
        <v>110</v>
      </c>
      <c r="K26" s="2" t="s">
        <v>111</v>
      </c>
      <c r="L26" s="8" t="s">
        <v>112</v>
      </c>
      <c r="M26" s="7">
        <v>60</v>
      </c>
      <c r="N26" s="2" t="s">
        <v>3</v>
      </c>
      <c r="O26" s="2" t="s">
        <v>183</v>
      </c>
      <c r="P26" s="1">
        <v>46143</v>
      </c>
      <c r="Q26" s="1">
        <v>46327</v>
      </c>
      <c r="R26" s="2"/>
      <c r="S26" s="2"/>
      <c r="T26" s="2"/>
      <c r="U26" s="2"/>
      <c r="V26" s="2">
        <v>2029</v>
      </c>
    </row>
    <row r="27" spans="1:22" ht="13" customHeight="1">
      <c r="A27" s="9"/>
      <c r="B27" s="10">
        <v>3770</v>
      </c>
      <c r="C27" s="2" t="s">
        <v>103</v>
      </c>
      <c r="D27" s="1">
        <v>46048</v>
      </c>
      <c r="E27" s="1">
        <f t="shared" si="0"/>
        <v>46203</v>
      </c>
      <c r="F2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46203</v>
      </c>
      <c r="G27" s="1">
        <v>46203</v>
      </c>
      <c r="H27" s="2" t="s">
        <v>133</v>
      </c>
      <c r="I27" s="2" t="s">
        <v>109</v>
      </c>
      <c r="J27" s="2" t="s">
        <v>110</v>
      </c>
      <c r="K27" s="2" t="s">
        <v>111</v>
      </c>
      <c r="L27" s="8" t="s">
        <v>112</v>
      </c>
      <c r="M27" s="7">
        <v>9.9</v>
      </c>
      <c r="N27" s="2" t="s">
        <v>3</v>
      </c>
      <c r="O27" s="2" t="s">
        <v>184</v>
      </c>
      <c r="P27" s="1">
        <v>46203</v>
      </c>
      <c r="Q27" s="1">
        <v>46387</v>
      </c>
      <c r="R27" s="2"/>
      <c r="S27" s="2"/>
      <c r="T27" s="2"/>
      <c r="U27" s="2"/>
      <c r="V27" s="2">
        <v>2027</v>
      </c>
    </row>
    <row r="28" spans="1:22" ht="13" customHeight="1">
      <c r="A28" s="9"/>
      <c r="B28" s="10">
        <v>3863</v>
      </c>
      <c r="C28" s="2" t="s">
        <v>103</v>
      </c>
      <c r="D28" s="1">
        <v>46045</v>
      </c>
      <c r="E28" s="1">
        <f t="shared" si="0"/>
        <v>46174</v>
      </c>
      <c r="F2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28" s="1">
        <v>46174</v>
      </c>
      <c r="H28" s="2" t="s">
        <v>142</v>
      </c>
      <c r="I28" s="2" t="s">
        <v>109</v>
      </c>
      <c r="J28" s="2" t="s">
        <v>110</v>
      </c>
      <c r="K28" s="2" t="s">
        <v>111</v>
      </c>
      <c r="L28" s="8" t="s">
        <v>112</v>
      </c>
      <c r="M28" s="7">
        <v>99.9</v>
      </c>
      <c r="N28" s="2" t="s">
        <v>192</v>
      </c>
      <c r="O28" s="2" t="s">
        <v>193</v>
      </c>
      <c r="P28" s="1">
        <v>46174</v>
      </c>
      <c r="Q28" s="1">
        <v>46751</v>
      </c>
      <c r="R28" s="2"/>
      <c r="S28" s="2"/>
      <c r="T28" s="2"/>
      <c r="U28" s="2"/>
      <c r="V28" s="2">
        <v>2029</v>
      </c>
    </row>
    <row r="29" spans="1:22" ht="13" customHeight="1">
      <c r="A29" s="9"/>
      <c r="B29" s="10">
        <v>3865</v>
      </c>
      <c r="C29" s="2" t="s">
        <v>103</v>
      </c>
      <c r="D29" s="1">
        <v>46037</v>
      </c>
      <c r="E29" s="1">
        <f t="shared" si="0"/>
        <v>46753</v>
      </c>
      <c r="F2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46753</v>
      </c>
      <c r="G29" s="1">
        <v>46753</v>
      </c>
      <c r="H29" s="2" t="s">
        <v>73</v>
      </c>
      <c r="I29" s="2" t="s">
        <v>109</v>
      </c>
      <c r="J29" s="2" t="s">
        <v>128</v>
      </c>
      <c r="K29" s="2" t="s">
        <v>136</v>
      </c>
      <c r="L29" s="8" t="s">
        <v>130</v>
      </c>
      <c r="M29" s="7">
        <v>42</v>
      </c>
      <c r="N29" s="2" t="s">
        <v>14</v>
      </c>
      <c r="O29" s="2" t="s">
        <v>194</v>
      </c>
      <c r="P29" s="1">
        <v>46753</v>
      </c>
      <c r="Q29" s="1">
        <v>47362</v>
      </c>
      <c r="R29" s="2"/>
      <c r="S29" s="2"/>
      <c r="T29" s="2"/>
      <c r="U29" s="2"/>
      <c r="V29" s="2">
        <v>2029</v>
      </c>
    </row>
    <row r="30" spans="1:22" ht="13" customHeight="1">
      <c r="A30" s="9"/>
      <c r="B30" s="11">
        <v>1725</v>
      </c>
      <c r="C30" s="2" t="s">
        <v>103</v>
      </c>
      <c r="D30" s="1">
        <v>46031</v>
      </c>
      <c r="E30" s="1">
        <f t="shared" si="0"/>
        <v>46174</v>
      </c>
      <c r="F3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30" s="1">
        <v>46174</v>
      </c>
      <c r="H30" s="2" t="s">
        <v>71</v>
      </c>
      <c r="I30" s="2" t="s">
        <v>116</v>
      </c>
      <c r="J30" s="2" t="s">
        <v>110</v>
      </c>
      <c r="K30" s="2" t="s">
        <v>111</v>
      </c>
      <c r="L30" s="2" t="s">
        <v>112</v>
      </c>
      <c r="M30" s="3">
        <v>99.9</v>
      </c>
      <c r="N30" s="2" t="s">
        <v>163</v>
      </c>
      <c r="O30" s="2" t="s">
        <v>164</v>
      </c>
      <c r="P30" s="1">
        <v>46174</v>
      </c>
      <c r="Q30" s="1">
        <v>46903</v>
      </c>
      <c r="R30" s="2" t="s">
        <v>4</v>
      </c>
      <c r="S30" s="2" t="s">
        <v>18</v>
      </c>
      <c r="T30" s="2" t="s">
        <v>79</v>
      </c>
      <c r="U30" s="2">
        <v>46752</v>
      </c>
      <c r="V30" s="2">
        <v>2028</v>
      </c>
    </row>
    <row r="31" spans="1:22" ht="13" customHeight="1">
      <c r="A31" s="9"/>
      <c r="B31" s="10">
        <v>1731</v>
      </c>
      <c r="C31" s="2" t="s">
        <v>103</v>
      </c>
      <c r="D31" s="1">
        <v>46031</v>
      </c>
      <c r="E31" s="1">
        <f t="shared" si="0"/>
        <v>46174</v>
      </c>
      <c r="F3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31" s="1">
        <v>46174</v>
      </c>
      <c r="H31" s="2" t="s">
        <v>144</v>
      </c>
      <c r="I31" s="2" t="s">
        <v>116</v>
      </c>
      <c r="J31" s="2" t="s">
        <v>110</v>
      </c>
      <c r="K31" s="2" t="s">
        <v>111</v>
      </c>
      <c r="L31" s="8" t="s">
        <v>112</v>
      </c>
      <c r="M31" s="7">
        <v>99.9</v>
      </c>
      <c r="N31" s="2" t="s">
        <v>163</v>
      </c>
      <c r="O31" s="2" t="s">
        <v>164</v>
      </c>
      <c r="P31" s="1">
        <v>46174</v>
      </c>
      <c r="Q31" s="1">
        <v>46903</v>
      </c>
      <c r="R31" s="2"/>
      <c r="S31" s="2"/>
      <c r="T31" s="2"/>
      <c r="U31" s="2"/>
      <c r="V31" s="2">
        <v>2027</v>
      </c>
    </row>
    <row r="32" spans="1:22" ht="13" customHeight="1">
      <c r="A32" s="9"/>
      <c r="B32" s="10">
        <v>3619</v>
      </c>
      <c r="C32" s="2" t="s">
        <v>103</v>
      </c>
      <c r="D32" s="1">
        <v>46031</v>
      </c>
      <c r="E32" s="1">
        <f t="shared" si="0"/>
        <v>46294</v>
      </c>
      <c r="F3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46294</v>
      </c>
      <c r="G32" s="1">
        <v>46294</v>
      </c>
      <c r="H32" s="2" t="s">
        <v>70</v>
      </c>
      <c r="I32" s="2" t="s">
        <v>109</v>
      </c>
      <c r="J32" s="2" t="s">
        <v>110</v>
      </c>
      <c r="K32" s="2" t="s">
        <v>111</v>
      </c>
      <c r="L32" s="8" t="s">
        <v>112</v>
      </c>
      <c r="M32" s="7">
        <v>100</v>
      </c>
      <c r="N32" s="2" t="s">
        <v>176</v>
      </c>
      <c r="O32" s="2" t="s">
        <v>196</v>
      </c>
      <c r="P32" s="1">
        <v>46294</v>
      </c>
      <c r="Q32" s="1">
        <v>46568</v>
      </c>
      <c r="R32" s="2"/>
      <c r="S32" s="2"/>
      <c r="T32" s="2"/>
      <c r="U32" s="2"/>
      <c r="V32" s="2">
        <v>2029</v>
      </c>
    </row>
    <row r="33" spans="1:22" ht="13" customHeight="1">
      <c r="A33" s="9"/>
      <c r="B33" s="10">
        <v>3614</v>
      </c>
      <c r="C33" s="2" t="s">
        <v>103</v>
      </c>
      <c r="D33" s="1">
        <v>46031</v>
      </c>
      <c r="E33" s="1">
        <f t="shared" si="0"/>
        <v>46323</v>
      </c>
      <c r="F3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46323</v>
      </c>
      <c r="G33" s="1">
        <v>46323</v>
      </c>
      <c r="H33" s="2" t="s">
        <v>72</v>
      </c>
      <c r="I33" s="2" t="s">
        <v>109</v>
      </c>
      <c r="J33" s="2" t="s">
        <v>110</v>
      </c>
      <c r="K33" s="2" t="s">
        <v>111</v>
      </c>
      <c r="L33" s="8" t="s">
        <v>112</v>
      </c>
      <c r="M33" s="7">
        <v>350</v>
      </c>
      <c r="N33" s="2" t="s">
        <v>163</v>
      </c>
      <c r="O33" s="2" t="s">
        <v>173</v>
      </c>
      <c r="P33" s="1">
        <v>46323</v>
      </c>
      <c r="Q33" s="1">
        <v>46630</v>
      </c>
      <c r="R33" s="2"/>
      <c r="S33" s="2"/>
      <c r="T33" s="2"/>
      <c r="U33" s="2"/>
      <c r="V33" s="2">
        <v>2027</v>
      </c>
    </row>
    <row r="34" spans="1:22" ht="13" customHeight="1">
      <c r="A34" s="9"/>
      <c r="B34" s="10">
        <v>1729</v>
      </c>
      <c r="C34" s="2" t="s">
        <v>103</v>
      </c>
      <c r="D34" s="1">
        <v>46031</v>
      </c>
      <c r="E34" s="1">
        <f t="shared" si="0"/>
        <v>46174</v>
      </c>
      <c r="F3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34" s="1">
        <v>46174</v>
      </c>
      <c r="H34" s="2" t="s">
        <v>143</v>
      </c>
      <c r="I34" s="2" t="s">
        <v>116</v>
      </c>
      <c r="J34" s="2" t="s">
        <v>110</v>
      </c>
      <c r="K34" s="2" t="s">
        <v>111</v>
      </c>
      <c r="L34" s="8" t="s">
        <v>112</v>
      </c>
      <c r="M34" s="7">
        <v>99.9</v>
      </c>
      <c r="N34" s="2" t="s">
        <v>163</v>
      </c>
      <c r="O34" s="2" t="s">
        <v>195</v>
      </c>
      <c r="P34" s="1">
        <v>46174</v>
      </c>
      <c r="Q34" s="1">
        <v>46903</v>
      </c>
      <c r="R34" s="2"/>
      <c r="S34" s="2"/>
      <c r="T34" s="2"/>
      <c r="U34" s="2"/>
      <c r="V34" s="2">
        <v>2029</v>
      </c>
    </row>
    <row r="35" spans="1:22" ht="13" customHeight="1">
      <c r="A35" s="9"/>
      <c r="B35" s="10">
        <v>3864</v>
      </c>
      <c r="C35" s="2" t="s">
        <v>103</v>
      </c>
      <c r="D35" s="1">
        <v>46031</v>
      </c>
      <c r="E35" s="1">
        <f t="shared" si="0"/>
        <v>46761</v>
      </c>
      <c r="F3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46761</v>
      </c>
      <c r="G35" s="1">
        <v>46761</v>
      </c>
      <c r="H35" s="2" t="s">
        <v>145</v>
      </c>
      <c r="I35" s="2" t="s">
        <v>109</v>
      </c>
      <c r="J35" s="2" t="s">
        <v>110</v>
      </c>
      <c r="K35" s="2" t="s">
        <v>111</v>
      </c>
      <c r="L35" s="8" t="s">
        <v>112</v>
      </c>
      <c r="M35" s="7">
        <v>400</v>
      </c>
      <c r="N35" s="2" t="s">
        <v>163</v>
      </c>
      <c r="O35" s="2" t="s">
        <v>197</v>
      </c>
      <c r="P35" s="1">
        <v>46874</v>
      </c>
      <c r="Q35" s="1">
        <v>47422</v>
      </c>
      <c r="R35" s="2"/>
      <c r="S35" s="2"/>
      <c r="T35" s="2"/>
      <c r="U35" s="2"/>
      <c r="V35" s="2">
        <v>2027</v>
      </c>
    </row>
    <row r="36" spans="1:22" ht="13" customHeight="1">
      <c r="A36" s="9"/>
      <c r="B36" s="10">
        <v>3857</v>
      </c>
      <c r="C36" s="2" t="s">
        <v>103</v>
      </c>
      <c r="D36" s="1">
        <v>46021</v>
      </c>
      <c r="E36" s="1">
        <f t="shared" ref="E36:E67" si="1">IF(C36="Resolución UPME No. 749 de 2025",IF(I36="FASE 3", IF(ISBLANK(P36),D36+365,MIN(P36+365,P36)), IF(ISBLANK(P36),D36+730,MIN(D36+730,P36))),IF(I36="FASE 1", IF(ISBLANK(P36),D36+730,MIN(D36+730,P36)),IF(ISBLANK(P36),D36+365,MIN(D36+365,P36))))</f>
        <v>46751</v>
      </c>
      <c r="F3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46751</v>
      </c>
      <c r="G36" s="1">
        <v>46751</v>
      </c>
      <c r="H36" s="2" t="s">
        <v>147</v>
      </c>
      <c r="I36" s="2" t="s">
        <v>148</v>
      </c>
      <c r="J36" s="2" t="s">
        <v>117</v>
      </c>
      <c r="K36" s="2" t="s">
        <v>118</v>
      </c>
      <c r="L36" s="8" t="s">
        <v>119</v>
      </c>
      <c r="M36" s="7">
        <v>19.899999999999999</v>
      </c>
      <c r="N36" s="2" t="s">
        <v>0</v>
      </c>
      <c r="O36" s="2" t="s">
        <v>168</v>
      </c>
      <c r="P36" s="1">
        <v>47453</v>
      </c>
      <c r="Q36" s="1">
        <v>48549</v>
      </c>
      <c r="R36" s="2"/>
      <c r="S36" s="2"/>
      <c r="T36" s="2"/>
      <c r="U36" s="2"/>
      <c r="V36" s="2">
        <v>2031</v>
      </c>
    </row>
    <row r="37" spans="1:22" ht="13" customHeight="1">
      <c r="A37" s="9"/>
      <c r="B37" s="10">
        <v>3856</v>
      </c>
      <c r="C37" s="2" t="s">
        <v>103</v>
      </c>
      <c r="D37" s="1">
        <v>46021</v>
      </c>
      <c r="E37" s="1">
        <f t="shared" si="1"/>
        <v>46204</v>
      </c>
      <c r="F3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46204</v>
      </c>
      <c r="G37" s="1">
        <v>46204</v>
      </c>
      <c r="H37" s="2" t="s">
        <v>146</v>
      </c>
      <c r="I37" s="2" t="s">
        <v>109</v>
      </c>
      <c r="J37" s="2" t="s">
        <v>117</v>
      </c>
      <c r="K37" s="2" t="s">
        <v>118</v>
      </c>
      <c r="L37" s="8" t="s">
        <v>119</v>
      </c>
      <c r="M37" s="7">
        <v>0.99</v>
      </c>
      <c r="N37" s="2" t="s">
        <v>0</v>
      </c>
      <c r="O37" s="2" t="s">
        <v>198</v>
      </c>
      <c r="P37" s="1">
        <v>46204</v>
      </c>
      <c r="Q37" s="1">
        <v>46752</v>
      </c>
      <c r="R37" s="2"/>
      <c r="S37" s="2"/>
      <c r="T37" s="2"/>
      <c r="U37" s="2"/>
      <c r="V37" s="2">
        <v>2026</v>
      </c>
    </row>
    <row r="38" spans="1:22" ht="13" customHeight="1">
      <c r="A38" s="9"/>
      <c r="B38" s="11">
        <v>3855</v>
      </c>
      <c r="C38" s="2" t="s">
        <v>103</v>
      </c>
      <c r="D38" s="1">
        <v>46020</v>
      </c>
      <c r="E38" s="1">
        <f t="shared" si="1"/>
        <v>46174</v>
      </c>
      <c r="F3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38" s="1">
        <v>46174</v>
      </c>
      <c r="H38" s="2" t="s">
        <v>149</v>
      </c>
      <c r="I38" s="2" t="s">
        <v>109</v>
      </c>
      <c r="J38" s="2" t="s">
        <v>110</v>
      </c>
      <c r="K38" s="2" t="s">
        <v>111</v>
      </c>
      <c r="L38" s="8" t="s">
        <v>112</v>
      </c>
      <c r="M38" s="7">
        <v>240</v>
      </c>
      <c r="N38" s="2" t="s">
        <v>176</v>
      </c>
      <c r="O38" s="2" t="s">
        <v>201</v>
      </c>
      <c r="P38" s="1">
        <v>46174</v>
      </c>
      <c r="Q38" s="1">
        <v>47118</v>
      </c>
      <c r="R38" s="2"/>
      <c r="S38" s="2"/>
      <c r="T38" s="2"/>
      <c r="U38" s="2"/>
      <c r="V38" s="2">
        <v>2028</v>
      </c>
    </row>
    <row r="39" spans="1:22" ht="13" customHeight="1">
      <c r="A39" s="9"/>
      <c r="B39" s="10">
        <v>3828</v>
      </c>
      <c r="C39" s="2" t="s">
        <v>104</v>
      </c>
      <c r="D39" s="1">
        <v>46020</v>
      </c>
      <c r="E39" s="1">
        <f t="shared" si="1"/>
        <v>46174</v>
      </c>
      <c r="F3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39" s="1">
        <v>46174</v>
      </c>
      <c r="H39" s="2" t="s">
        <v>15</v>
      </c>
      <c r="I39" s="2" t="s">
        <v>109</v>
      </c>
      <c r="J39" s="2" t="s">
        <v>110</v>
      </c>
      <c r="K39" s="2" t="s">
        <v>111</v>
      </c>
      <c r="L39" s="2" t="s">
        <v>112</v>
      </c>
      <c r="M39" s="3">
        <v>60</v>
      </c>
      <c r="N39" s="2" t="s">
        <v>199</v>
      </c>
      <c r="O39" s="2" t="s">
        <v>200</v>
      </c>
      <c r="P39" s="1">
        <v>46174</v>
      </c>
      <c r="Q39" s="1">
        <v>46752</v>
      </c>
      <c r="R39" s="2"/>
      <c r="S39" s="2"/>
      <c r="T39" s="2"/>
      <c r="U39" s="2"/>
      <c r="V39" s="2">
        <v>2029</v>
      </c>
    </row>
    <row r="40" spans="1:22" ht="13" customHeight="1">
      <c r="A40" s="9"/>
      <c r="B40" s="11">
        <v>3854</v>
      </c>
      <c r="C40" s="2" t="s">
        <v>103</v>
      </c>
      <c r="D40" s="1">
        <v>46015</v>
      </c>
      <c r="E40" s="1">
        <f t="shared" si="1"/>
        <v>46388</v>
      </c>
      <c r="F4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46388</v>
      </c>
      <c r="G40" s="1">
        <v>46388</v>
      </c>
      <c r="H40" s="2" t="s">
        <v>150</v>
      </c>
      <c r="I40" s="2" t="s">
        <v>109</v>
      </c>
      <c r="J40" s="2" t="s">
        <v>110</v>
      </c>
      <c r="K40" s="2" t="s">
        <v>111</v>
      </c>
      <c r="L40" s="8" t="s">
        <v>112</v>
      </c>
      <c r="M40" s="7">
        <v>40</v>
      </c>
      <c r="N40" s="2" t="s">
        <v>4</v>
      </c>
      <c r="O40" s="2" t="s">
        <v>202</v>
      </c>
      <c r="P40" s="1">
        <v>46388</v>
      </c>
      <c r="Q40" s="1">
        <v>46752</v>
      </c>
      <c r="R40" s="2"/>
      <c r="S40" s="2"/>
      <c r="T40" s="2"/>
      <c r="U40" s="2"/>
      <c r="V40" s="2">
        <v>2028</v>
      </c>
    </row>
    <row r="41" spans="1:22" ht="13" customHeight="1">
      <c r="A41" s="9"/>
      <c r="B41" s="10">
        <v>3851</v>
      </c>
      <c r="C41" s="2" t="s">
        <v>104</v>
      </c>
      <c r="D41" s="1">
        <v>46001</v>
      </c>
      <c r="E41" s="1">
        <f t="shared" si="1"/>
        <v>46366</v>
      </c>
      <c r="F4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46366</v>
      </c>
      <c r="G41" s="1">
        <v>46366</v>
      </c>
      <c r="H41" s="2" t="s">
        <v>5</v>
      </c>
      <c r="I41" s="2" t="s">
        <v>109</v>
      </c>
      <c r="J41" s="2" t="s">
        <v>117</v>
      </c>
      <c r="K41" s="2" t="s">
        <v>118</v>
      </c>
      <c r="L41" s="2" t="s">
        <v>119</v>
      </c>
      <c r="M41" s="3">
        <v>80</v>
      </c>
      <c r="N41" s="2" t="s">
        <v>0</v>
      </c>
      <c r="O41" s="2" t="s">
        <v>204</v>
      </c>
      <c r="P41" s="1">
        <v>46388</v>
      </c>
      <c r="Q41" s="1">
        <v>47484</v>
      </c>
      <c r="R41" s="2"/>
      <c r="S41" s="2"/>
      <c r="T41" s="2"/>
      <c r="U41" s="2"/>
      <c r="V41" s="2">
        <v>2029</v>
      </c>
    </row>
    <row r="42" spans="1:22" ht="13" customHeight="1">
      <c r="A42" s="9"/>
      <c r="B42" s="2">
        <v>3850</v>
      </c>
      <c r="C42" s="2" t="s">
        <v>104</v>
      </c>
      <c r="D42" s="1">
        <v>46001</v>
      </c>
      <c r="E42" s="1">
        <f t="shared" si="1"/>
        <v>46366</v>
      </c>
      <c r="F4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46366</v>
      </c>
      <c r="G42" s="1">
        <v>46366</v>
      </c>
      <c r="H42" s="2" t="s">
        <v>6</v>
      </c>
      <c r="I42" s="2" t="s">
        <v>109</v>
      </c>
      <c r="J42" s="2" t="s">
        <v>117</v>
      </c>
      <c r="K42" s="2" t="s">
        <v>118</v>
      </c>
      <c r="L42" s="2" t="s">
        <v>119</v>
      </c>
      <c r="M42" s="3">
        <v>94</v>
      </c>
      <c r="N42" s="2" t="s">
        <v>192</v>
      </c>
      <c r="O42" s="2" t="s">
        <v>203</v>
      </c>
      <c r="P42" s="16">
        <v>47150</v>
      </c>
      <c r="Q42" s="16">
        <v>48214</v>
      </c>
      <c r="R42" s="2"/>
      <c r="S42" s="2"/>
      <c r="T42" s="2"/>
      <c r="U42" s="2"/>
      <c r="V42" s="2"/>
    </row>
    <row r="43" spans="1:22" ht="13" customHeight="1">
      <c r="A43" s="9"/>
      <c r="B43" s="11">
        <v>1172</v>
      </c>
      <c r="C43" s="2" t="s">
        <v>103</v>
      </c>
      <c r="D43" s="1">
        <v>45960</v>
      </c>
      <c r="E43" s="1">
        <f t="shared" si="1"/>
        <v>46203</v>
      </c>
      <c r="F4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46203</v>
      </c>
      <c r="G43" s="1">
        <v>46203</v>
      </c>
      <c r="H43" s="2" t="s">
        <v>151</v>
      </c>
      <c r="I43" s="2" t="s">
        <v>109</v>
      </c>
      <c r="J43" s="2" t="s">
        <v>110</v>
      </c>
      <c r="K43" s="2" t="s">
        <v>111</v>
      </c>
      <c r="L43" s="8" t="s">
        <v>112</v>
      </c>
      <c r="M43" s="7">
        <v>76</v>
      </c>
      <c r="N43" s="2" t="s">
        <v>171</v>
      </c>
      <c r="O43" s="2" t="s">
        <v>172</v>
      </c>
      <c r="P43" s="1">
        <v>46203</v>
      </c>
      <c r="Q43" s="1">
        <v>46568</v>
      </c>
      <c r="R43" s="2"/>
      <c r="S43" s="2"/>
      <c r="T43" s="2"/>
      <c r="U43" s="2"/>
      <c r="V43" s="2">
        <v>2029</v>
      </c>
    </row>
    <row r="44" spans="1:22" ht="13" customHeight="1">
      <c r="A44" s="9"/>
      <c r="B44" s="10">
        <v>738</v>
      </c>
      <c r="C44" s="2" t="s">
        <v>104</v>
      </c>
      <c r="D44" s="1">
        <v>45951</v>
      </c>
      <c r="E44" s="1">
        <f t="shared" si="1"/>
        <v>46316</v>
      </c>
      <c r="F4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46316</v>
      </c>
      <c r="G44" s="1">
        <v>46316</v>
      </c>
      <c r="H44" s="2" t="s">
        <v>64</v>
      </c>
      <c r="I44" s="2" t="s">
        <v>109</v>
      </c>
      <c r="J44" s="2" t="s">
        <v>117</v>
      </c>
      <c r="K44" s="2" t="s">
        <v>118</v>
      </c>
      <c r="L44" s="8" t="s">
        <v>119</v>
      </c>
      <c r="M44" s="7">
        <v>16</v>
      </c>
      <c r="N44" s="2" t="s">
        <v>174</v>
      </c>
      <c r="O44" s="2" t="s">
        <v>205</v>
      </c>
      <c r="P44" s="1">
        <v>47314</v>
      </c>
      <c r="Q44" s="1">
        <v>48548</v>
      </c>
      <c r="R44" s="2"/>
      <c r="S44" s="2"/>
      <c r="T44" s="2"/>
      <c r="U44" s="2"/>
      <c r="V44" s="2">
        <v>2027</v>
      </c>
    </row>
    <row r="45" spans="1:22" ht="13" customHeight="1">
      <c r="A45" s="9"/>
      <c r="B45" s="10">
        <v>3849</v>
      </c>
      <c r="C45" s="2" t="s">
        <v>104</v>
      </c>
      <c r="D45" s="1">
        <v>45944</v>
      </c>
      <c r="E45" s="1">
        <f t="shared" si="1"/>
        <v>46309</v>
      </c>
      <c r="F4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46309</v>
      </c>
      <c r="G45" s="1">
        <v>46309</v>
      </c>
      <c r="H45" s="2" t="s">
        <v>152</v>
      </c>
      <c r="I45" s="2" t="s">
        <v>109</v>
      </c>
      <c r="J45" s="2" t="s">
        <v>128</v>
      </c>
      <c r="K45" s="2" t="s">
        <v>136</v>
      </c>
      <c r="L45" s="8" t="s">
        <v>130</v>
      </c>
      <c r="M45" s="7">
        <v>200</v>
      </c>
      <c r="N45" s="2" t="s">
        <v>163</v>
      </c>
      <c r="O45" s="2" t="s">
        <v>197</v>
      </c>
      <c r="P45" s="1">
        <v>46387</v>
      </c>
      <c r="Q45" s="1">
        <v>47118</v>
      </c>
      <c r="R45" s="2"/>
      <c r="S45" s="2"/>
      <c r="T45" s="2"/>
      <c r="U45" s="2"/>
      <c r="V45" s="2">
        <v>2027</v>
      </c>
    </row>
    <row r="46" spans="1:22" ht="13" customHeight="1">
      <c r="A46" s="9"/>
      <c r="B46" s="2">
        <v>3848</v>
      </c>
      <c r="C46" s="2" t="s">
        <v>104</v>
      </c>
      <c r="D46" s="1">
        <v>45924</v>
      </c>
      <c r="E46" s="1">
        <f t="shared" si="1"/>
        <v>46289</v>
      </c>
      <c r="F4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46289</v>
      </c>
      <c r="G46" s="1">
        <v>46289</v>
      </c>
      <c r="H46" s="2" t="s">
        <v>153</v>
      </c>
      <c r="I46" s="2" t="s">
        <v>109</v>
      </c>
      <c r="J46" s="2" t="s">
        <v>117</v>
      </c>
      <c r="K46" s="2" t="s">
        <v>118</v>
      </c>
      <c r="L46" s="2" t="s">
        <v>119</v>
      </c>
      <c r="M46" s="3">
        <v>71.83</v>
      </c>
      <c r="N46" s="2" t="s">
        <v>0</v>
      </c>
      <c r="O46" s="2" t="s">
        <v>206</v>
      </c>
      <c r="P46" s="16">
        <v>46630</v>
      </c>
      <c r="Q46" s="16">
        <v>47483</v>
      </c>
      <c r="R46" s="2"/>
      <c r="S46" s="2"/>
      <c r="T46" s="2"/>
      <c r="U46" s="2"/>
      <c r="V46" s="2"/>
    </row>
    <row r="47" spans="1:22" ht="13" customHeight="1">
      <c r="A47" s="9"/>
      <c r="B47" s="11">
        <v>3847</v>
      </c>
      <c r="C47" s="2" t="s">
        <v>104</v>
      </c>
      <c r="D47" s="1">
        <v>45923</v>
      </c>
      <c r="E47" s="1">
        <f t="shared" si="1"/>
        <v>46388</v>
      </c>
      <c r="F4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46388</v>
      </c>
      <c r="G47" s="1">
        <v>46388</v>
      </c>
      <c r="H47" s="2" t="s">
        <v>154</v>
      </c>
      <c r="I47" s="2" t="s">
        <v>148</v>
      </c>
      <c r="J47" s="2" t="s">
        <v>110</v>
      </c>
      <c r="K47" s="2" t="s">
        <v>111</v>
      </c>
      <c r="L47" s="2" t="s">
        <v>112</v>
      </c>
      <c r="M47" s="3">
        <v>19.899999999999999</v>
      </c>
      <c r="N47" s="2" t="s">
        <v>207</v>
      </c>
      <c r="O47" s="2" t="s">
        <v>208</v>
      </c>
      <c r="P47" s="1">
        <v>46388</v>
      </c>
      <c r="Q47" s="1">
        <v>46752</v>
      </c>
      <c r="R47" s="2"/>
      <c r="S47" s="2"/>
      <c r="T47" s="2"/>
      <c r="U47" s="2"/>
      <c r="V47" s="2">
        <v>2027</v>
      </c>
    </row>
    <row r="48" spans="1:22" ht="13" customHeight="1">
      <c r="A48" s="9"/>
      <c r="B48" s="10">
        <v>3845</v>
      </c>
      <c r="C48" s="2" t="s">
        <v>104</v>
      </c>
      <c r="D48" s="1">
        <v>45922</v>
      </c>
      <c r="E48" s="1">
        <f t="shared" si="1"/>
        <v>46539</v>
      </c>
      <c r="F4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46539</v>
      </c>
      <c r="G48" s="1">
        <v>46539</v>
      </c>
      <c r="H48" s="2" t="s">
        <v>156</v>
      </c>
      <c r="I48" s="2" t="s">
        <v>148</v>
      </c>
      <c r="J48" s="2" t="s">
        <v>117</v>
      </c>
      <c r="K48" s="2" t="s">
        <v>118</v>
      </c>
      <c r="L48" s="8" t="s">
        <v>119</v>
      </c>
      <c r="M48" s="7">
        <v>5.4</v>
      </c>
      <c r="N48" s="2" t="s">
        <v>7</v>
      </c>
      <c r="O48" s="2" t="s">
        <v>210</v>
      </c>
      <c r="P48" s="1">
        <v>46539</v>
      </c>
      <c r="Q48" s="1">
        <v>47483</v>
      </c>
      <c r="R48" s="2"/>
      <c r="S48" s="2"/>
      <c r="T48" s="2"/>
      <c r="U48" s="2"/>
      <c r="V48" s="2">
        <v>2029</v>
      </c>
    </row>
    <row r="49" spans="1:22" ht="13" customHeight="1">
      <c r="A49" s="9"/>
      <c r="B49" s="11">
        <v>3846</v>
      </c>
      <c r="C49" s="2" t="s">
        <v>104</v>
      </c>
      <c r="D49" s="1">
        <v>45922</v>
      </c>
      <c r="E49" s="1">
        <f t="shared" si="1"/>
        <v>46539</v>
      </c>
      <c r="F4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46539</v>
      </c>
      <c r="G49" s="1">
        <v>46539</v>
      </c>
      <c r="H49" s="2" t="s">
        <v>157</v>
      </c>
      <c r="I49" s="2" t="s">
        <v>148</v>
      </c>
      <c r="J49" s="2" t="s">
        <v>117</v>
      </c>
      <c r="K49" s="2" t="s">
        <v>118</v>
      </c>
      <c r="L49" s="8" t="s">
        <v>119</v>
      </c>
      <c r="M49" s="7">
        <v>6.3</v>
      </c>
      <c r="N49" s="2" t="s">
        <v>7</v>
      </c>
      <c r="O49" s="2" t="s">
        <v>210</v>
      </c>
      <c r="P49" s="1">
        <v>46539</v>
      </c>
      <c r="Q49" s="1">
        <v>47483</v>
      </c>
      <c r="R49" s="2"/>
      <c r="S49" s="2"/>
      <c r="T49" s="2"/>
      <c r="U49" s="2"/>
      <c r="V49" s="2">
        <v>2026</v>
      </c>
    </row>
    <row r="50" spans="1:22" ht="13" customHeight="1">
      <c r="A50" s="9"/>
      <c r="B50" s="10">
        <v>3844</v>
      </c>
      <c r="C50" s="2" t="s">
        <v>104</v>
      </c>
      <c r="D50" s="1">
        <v>45922</v>
      </c>
      <c r="E50" s="1">
        <f t="shared" si="1"/>
        <v>46652</v>
      </c>
      <c r="F5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46652</v>
      </c>
      <c r="G50" s="1">
        <v>46652</v>
      </c>
      <c r="H50" s="2" t="s">
        <v>155</v>
      </c>
      <c r="I50" s="2" t="s">
        <v>148</v>
      </c>
      <c r="J50" s="2" t="s">
        <v>117</v>
      </c>
      <c r="K50" s="2" t="s">
        <v>118</v>
      </c>
      <c r="L50" s="2" t="s">
        <v>119</v>
      </c>
      <c r="M50" s="3">
        <v>33.24</v>
      </c>
      <c r="N50" s="2" t="s">
        <v>7</v>
      </c>
      <c r="O50" s="2" t="s">
        <v>209</v>
      </c>
      <c r="P50" s="1">
        <v>46753</v>
      </c>
      <c r="Q50" s="1">
        <v>47848</v>
      </c>
      <c r="R50" s="2"/>
      <c r="S50" s="2"/>
      <c r="T50" s="2"/>
      <c r="U50" s="2"/>
      <c r="V50" s="2">
        <v>2027</v>
      </c>
    </row>
    <row r="51" spans="1:22" ht="13" customHeight="1">
      <c r="A51" s="9"/>
      <c r="B51" s="10">
        <v>3615</v>
      </c>
      <c r="C51" s="2" t="s">
        <v>104</v>
      </c>
      <c r="D51" s="1">
        <v>45917</v>
      </c>
      <c r="E51" s="1">
        <f t="shared" si="1"/>
        <v>46282</v>
      </c>
      <c r="F5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46282</v>
      </c>
      <c r="G51" s="1">
        <v>46282</v>
      </c>
      <c r="H51" s="2" t="s">
        <v>56</v>
      </c>
      <c r="I51" s="2" t="s">
        <v>109</v>
      </c>
      <c r="J51" s="2" t="s">
        <v>123</v>
      </c>
      <c r="K51" s="2" t="s">
        <v>124</v>
      </c>
      <c r="L51" s="2" t="s">
        <v>125</v>
      </c>
      <c r="M51" s="3">
        <v>90</v>
      </c>
      <c r="N51" s="2" t="s">
        <v>185</v>
      </c>
      <c r="O51" s="2" t="s">
        <v>211</v>
      </c>
      <c r="P51" s="1">
        <v>46813</v>
      </c>
      <c r="Q51" s="1">
        <v>47270</v>
      </c>
      <c r="R51" s="2"/>
      <c r="S51" s="2"/>
      <c r="T51" s="2"/>
      <c r="U51" s="2"/>
      <c r="V51" s="2">
        <v>2028</v>
      </c>
    </row>
    <row r="52" spans="1:22" ht="13" customHeight="1">
      <c r="A52" s="9"/>
      <c r="B52" s="10">
        <v>3841</v>
      </c>
      <c r="C52" s="2" t="s">
        <v>104</v>
      </c>
      <c r="D52" s="1">
        <v>45917</v>
      </c>
      <c r="E52" s="1">
        <f t="shared" si="1"/>
        <v>46539</v>
      </c>
      <c r="F5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46539</v>
      </c>
      <c r="G52" s="1">
        <v>46539</v>
      </c>
      <c r="H52" s="2" t="s">
        <v>8</v>
      </c>
      <c r="I52" s="2" t="s">
        <v>148</v>
      </c>
      <c r="J52" s="2" t="s">
        <v>117</v>
      </c>
      <c r="K52" s="2" t="s">
        <v>118</v>
      </c>
      <c r="L52" s="2" t="s">
        <v>119</v>
      </c>
      <c r="M52" s="3">
        <v>21.3</v>
      </c>
      <c r="N52" s="2" t="s">
        <v>7</v>
      </c>
      <c r="O52" s="2" t="s">
        <v>210</v>
      </c>
      <c r="P52" s="1">
        <v>46539</v>
      </c>
      <c r="Q52" s="1">
        <v>47483</v>
      </c>
      <c r="R52" s="2"/>
      <c r="S52" s="2"/>
      <c r="T52" s="2"/>
      <c r="U52" s="2"/>
      <c r="V52" s="2">
        <v>2028</v>
      </c>
    </row>
    <row r="53" spans="1:22" ht="13" customHeight="1">
      <c r="A53" s="9"/>
      <c r="B53" s="10">
        <v>1669</v>
      </c>
      <c r="C53" s="2" t="s">
        <v>104</v>
      </c>
      <c r="D53" s="1">
        <v>45916</v>
      </c>
      <c r="E53" s="1">
        <f t="shared" si="1"/>
        <v>46281</v>
      </c>
      <c r="F5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46281</v>
      </c>
      <c r="G53" s="1">
        <v>46281</v>
      </c>
      <c r="H53" s="2" t="s">
        <v>58</v>
      </c>
      <c r="I53" s="2" t="s">
        <v>109</v>
      </c>
      <c r="J53" s="2" t="s">
        <v>110</v>
      </c>
      <c r="K53" s="2" t="s">
        <v>111</v>
      </c>
      <c r="L53" s="8" t="s">
        <v>112</v>
      </c>
      <c r="M53" s="7">
        <v>99.9</v>
      </c>
      <c r="N53" s="2" t="s">
        <v>180</v>
      </c>
      <c r="O53" s="2" t="s">
        <v>181</v>
      </c>
      <c r="P53" s="1">
        <v>46539</v>
      </c>
      <c r="Q53" s="1">
        <v>47118</v>
      </c>
      <c r="R53" s="2"/>
      <c r="S53" s="2"/>
      <c r="T53" s="2"/>
      <c r="U53" s="2"/>
      <c r="V53" s="2">
        <v>2027</v>
      </c>
    </row>
    <row r="54" spans="1:22" ht="13" customHeight="1">
      <c r="A54" s="9"/>
      <c r="B54" s="10">
        <v>1294</v>
      </c>
      <c r="C54" s="2" t="s">
        <v>104</v>
      </c>
      <c r="D54" s="1">
        <v>45903</v>
      </c>
      <c r="E54" s="1">
        <f t="shared" si="1"/>
        <v>46174</v>
      </c>
      <c r="F5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54" s="1">
        <v>46174</v>
      </c>
      <c r="H54" s="2" t="s">
        <v>62</v>
      </c>
      <c r="I54" s="2" t="s">
        <v>109</v>
      </c>
      <c r="J54" s="2" t="s">
        <v>110</v>
      </c>
      <c r="K54" s="2" t="s">
        <v>111</v>
      </c>
      <c r="L54" s="8" t="s">
        <v>112</v>
      </c>
      <c r="M54" s="7">
        <v>79.599999999999994</v>
      </c>
      <c r="N54" s="2" t="s">
        <v>180</v>
      </c>
      <c r="O54" s="2" t="s">
        <v>181</v>
      </c>
      <c r="P54" s="1">
        <v>46174</v>
      </c>
      <c r="Q54" s="1">
        <v>46753</v>
      </c>
      <c r="R54" s="2"/>
      <c r="S54" s="2"/>
      <c r="T54" s="2"/>
      <c r="U54" s="2"/>
      <c r="V54" s="2">
        <v>2027</v>
      </c>
    </row>
    <row r="55" spans="1:22" ht="13" customHeight="1">
      <c r="A55" s="9"/>
      <c r="B55" s="11">
        <v>3839</v>
      </c>
      <c r="C55" s="2" t="s">
        <v>104</v>
      </c>
      <c r="D55" s="1">
        <v>45895</v>
      </c>
      <c r="E55" s="1">
        <f t="shared" si="1"/>
        <v>46260</v>
      </c>
      <c r="F5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46260</v>
      </c>
      <c r="G55" s="1">
        <v>46260</v>
      </c>
      <c r="H55" s="2" t="s">
        <v>101</v>
      </c>
      <c r="I55" s="2" t="s">
        <v>109</v>
      </c>
      <c r="J55" s="2" t="s">
        <v>110</v>
      </c>
      <c r="K55" s="2" t="s">
        <v>111</v>
      </c>
      <c r="L55" s="2" t="s">
        <v>112</v>
      </c>
      <c r="M55" s="3">
        <v>100</v>
      </c>
      <c r="N55" s="2" t="s">
        <v>3</v>
      </c>
      <c r="O55" s="2" t="s">
        <v>183</v>
      </c>
      <c r="P55" s="1">
        <v>46386</v>
      </c>
      <c r="Q55" s="1">
        <v>46722</v>
      </c>
      <c r="R55" s="2" t="s">
        <v>77</v>
      </c>
      <c r="S55" s="2" t="s">
        <v>76</v>
      </c>
      <c r="T55" s="2" t="s">
        <v>75</v>
      </c>
      <c r="U55" s="2">
        <v>46752</v>
      </c>
      <c r="V55" s="2">
        <v>2029</v>
      </c>
    </row>
    <row r="56" spans="1:22" ht="13" customHeight="1">
      <c r="A56" s="9"/>
      <c r="B56" s="10">
        <v>3838</v>
      </c>
      <c r="C56" s="2" t="s">
        <v>104</v>
      </c>
      <c r="D56" s="1">
        <v>45891</v>
      </c>
      <c r="E56" s="1">
        <f t="shared" si="1"/>
        <v>46256</v>
      </c>
      <c r="F5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46256</v>
      </c>
      <c r="G56" s="1">
        <v>46256</v>
      </c>
      <c r="H56" s="2" t="s">
        <v>158</v>
      </c>
      <c r="I56" s="2" t="s">
        <v>109</v>
      </c>
      <c r="J56" s="2" t="s">
        <v>110</v>
      </c>
      <c r="K56" s="2" t="s">
        <v>111</v>
      </c>
      <c r="L56" s="8" t="s">
        <v>112</v>
      </c>
      <c r="M56" s="7">
        <v>200</v>
      </c>
      <c r="N56" s="2" t="s">
        <v>9</v>
      </c>
      <c r="O56" s="2" t="s">
        <v>212</v>
      </c>
      <c r="P56" s="1">
        <v>46934</v>
      </c>
      <c r="Q56" s="1">
        <v>47483</v>
      </c>
      <c r="R56" s="2"/>
      <c r="S56" s="2"/>
      <c r="T56" s="2"/>
      <c r="U56" s="2"/>
      <c r="V56" s="2">
        <v>2028</v>
      </c>
    </row>
    <row r="57" spans="1:22" ht="13" customHeight="1">
      <c r="A57" s="9"/>
      <c r="B57" s="10">
        <v>3837</v>
      </c>
      <c r="C57" s="2" t="s">
        <v>104</v>
      </c>
      <c r="D57" s="1">
        <v>45881</v>
      </c>
      <c r="E57" s="1">
        <f t="shared" si="1"/>
        <v>46246</v>
      </c>
      <c r="F5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46246</v>
      </c>
      <c r="G57" s="1">
        <v>46246</v>
      </c>
      <c r="H57" s="2" t="s">
        <v>159</v>
      </c>
      <c r="I57" s="2" t="s">
        <v>109</v>
      </c>
      <c r="J57" s="2" t="s">
        <v>110</v>
      </c>
      <c r="K57" s="2" t="s">
        <v>111</v>
      </c>
      <c r="L57" s="8" t="s">
        <v>112</v>
      </c>
      <c r="M57" s="7">
        <v>150</v>
      </c>
      <c r="N57" s="2" t="s">
        <v>9</v>
      </c>
      <c r="O57" s="2" t="s">
        <v>214</v>
      </c>
      <c r="P57" s="1">
        <v>46934</v>
      </c>
      <c r="Q57" s="1">
        <v>47483</v>
      </c>
      <c r="R57" s="2"/>
      <c r="S57" s="2"/>
      <c r="T57" s="2"/>
      <c r="U57" s="2"/>
      <c r="V57" s="2">
        <v>2028</v>
      </c>
    </row>
    <row r="58" spans="1:22" ht="13" customHeight="1">
      <c r="A58" s="9"/>
      <c r="B58" s="10">
        <v>346</v>
      </c>
      <c r="C58" s="2" t="s">
        <v>104</v>
      </c>
      <c r="D58" s="1">
        <v>45867</v>
      </c>
      <c r="E58" s="1">
        <f t="shared" si="1"/>
        <v>46174</v>
      </c>
      <c r="F5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58" s="1">
        <v>46174</v>
      </c>
      <c r="H58" s="2" t="s">
        <v>68</v>
      </c>
      <c r="I58" s="2" t="s">
        <v>109</v>
      </c>
      <c r="J58" s="2" t="s">
        <v>117</v>
      </c>
      <c r="K58" s="2" t="s">
        <v>118</v>
      </c>
      <c r="L58" s="8" t="s">
        <v>119</v>
      </c>
      <c r="M58" s="7">
        <v>45</v>
      </c>
      <c r="N58" s="2" t="s">
        <v>3</v>
      </c>
      <c r="O58" s="2" t="s">
        <v>215</v>
      </c>
      <c r="P58" s="1">
        <v>46174</v>
      </c>
      <c r="Q58" s="1">
        <v>47542</v>
      </c>
      <c r="R58" s="2"/>
      <c r="S58" s="2"/>
      <c r="T58" s="2"/>
      <c r="U58" s="2"/>
      <c r="V58" s="2">
        <v>2026</v>
      </c>
    </row>
    <row r="59" spans="1:22" ht="13" customHeight="1">
      <c r="A59" s="9"/>
      <c r="B59" s="11">
        <v>3830</v>
      </c>
      <c r="C59" s="2" t="s">
        <v>104</v>
      </c>
      <c r="D59" s="1">
        <v>45861</v>
      </c>
      <c r="E59" s="1">
        <f t="shared" si="1"/>
        <v>46388</v>
      </c>
      <c r="F5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46388</v>
      </c>
      <c r="G59" s="1">
        <v>46388</v>
      </c>
      <c r="H59" s="2" t="s">
        <v>160</v>
      </c>
      <c r="I59" s="2" t="s">
        <v>148</v>
      </c>
      <c r="J59" s="2" t="s">
        <v>110</v>
      </c>
      <c r="K59" s="2" t="s">
        <v>111</v>
      </c>
      <c r="L59" s="8" t="s">
        <v>112</v>
      </c>
      <c r="M59" s="7">
        <v>9.9</v>
      </c>
      <c r="N59" s="2" t="s">
        <v>171</v>
      </c>
      <c r="O59" s="2" t="s">
        <v>172</v>
      </c>
      <c r="P59" s="1">
        <v>46388</v>
      </c>
      <c r="Q59" s="1">
        <v>46752</v>
      </c>
      <c r="R59" s="2"/>
      <c r="S59" s="2"/>
      <c r="T59" s="2"/>
      <c r="U59" s="2"/>
      <c r="V59" s="2">
        <v>2029</v>
      </c>
    </row>
    <row r="60" spans="1:22" ht="13" customHeight="1">
      <c r="A60" s="9"/>
      <c r="B60" s="10">
        <v>3834</v>
      </c>
      <c r="C60" s="2" t="s">
        <v>104</v>
      </c>
      <c r="D60" s="1">
        <v>45861</v>
      </c>
      <c r="E60" s="1">
        <f t="shared" si="1"/>
        <v>46226</v>
      </c>
      <c r="F6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46226</v>
      </c>
      <c r="G60" s="1">
        <v>46226</v>
      </c>
      <c r="H60" s="2" t="s">
        <v>10</v>
      </c>
      <c r="I60" s="2" t="s">
        <v>109</v>
      </c>
      <c r="J60" s="2" t="s">
        <v>110</v>
      </c>
      <c r="K60" s="2" t="s">
        <v>111</v>
      </c>
      <c r="L60" s="2" t="s">
        <v>112</v>
      </c>
      <c r="M60" s="3">
        <v>8</v>
      </c>
      <c r="N60" s="2" t="s">
        <v>216</v>
      </c>
      <c r="O60" s="2" t="s">
        <v>217</v>
      </c>
      <c r="P60" s="1">
        <v>46325</v>
      </c>
      <c r="Q60" s="1">
        <v>46477</v>
      </c>
      <c r="R60" s="2"/>
      <c r="S60" s="2"/>
      <c r="T60" s="2"/>
      <c r="U60" s="2"/>
      <c r="V60" s="2">
        <v>2027</v>
      </c>
    </row>
    <row r="61" spans="1:22" ht="13" customHeight="1">
      <c r="A61" s="9"/>
      <c r="B61" s="10">
        <v>3651</v>
      </c>
      <c r="C61" s="2" t="s">
        <v>104</v>
      </c>
      <c r="D61" s="1">
        <v>45855</v>
      </c>
      <c r="E61" s="1">
        <f t="shared" si="1"/>
        <v>46188</v>
      </c>
      <c r="F6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46188</v>
      </c>
      <c r="G61" s="1">
        <v>46188</v>
      </c>
      <c r="H61" s="2" t="s">
        <v>102</v>
      </c>
      <c r="I61" s="2" t="s">
        <v>109</v>
      </c>
      <c r="J61" s="2" t="s">
        <v>123</v>
      </c>
      <c r="K61" s="2" t="s">
        <v>124</v>
      </c>
      <c r="L61" s="8" t="s">
        <v>161</v>
      </c>
      <c r="M61" s="7">
        <v>99.9</v>
      </c>
      <c r="N61" s="2" t="s">
        <v>14</v>
      </c>
      <c r="O61" s="2" t="s">
        <v>194</v>
      </c>
      <c r="P61" s="1">
        <v>46188</v>
      </c>
      <c r="Q61" s="1">
        <v>46631</v>
      </c>
      <c r="R61" s="2"/>
      <c r="S61" s="2"/>
      <c r="T61" s="2"/>
      <c r="U61" s="2"/>
      <c r="V61" s="2">
        <v>2027</v>
      </c>
    </row>
    <row r="62" spans="1:22" ht="13" customHeight="1">
      <c r="A62" s="9"/>
      <c r="B62" s="10">
        <v>153</v>
      </c>
      <c r="C62" s="2" t="s">
        <v>104</v>
      </c>
      <c r="D62" s="1">
        <v>45855</v>
      </c>
      <c r="E62" s="1">
        <f t="shared" si="1"/>
        <v>46220</v>
      </c>
      <c r="F6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46220</v>
      </c>
      <c r="G62" s="1">
        <v>46220</v>
      </c>
      <c r="H62" s="2" t="s">
        <v>69</v>
      </c>
      <c r="I62" s="2" t="s">
        <v>109</v>
      </c>
      <c r="J62" s="2" t="s">
        <v>128</v>
      </c>
      <c r="K62" s="2" t="s">
        <v>136</v>
      </c>
      <c r="L62" s="8" t="s">
        <v>130</v>
      </c>
      <c r="M62" s="7">
        <v>94</v>
      </c>
      <c r="N62" s="2" t="s">
        <v>14</v>
      </c>
      <c r="O62" s="2" t="s">
        <v>213</v>
      </c>
      <c r="P62" s="1">
        <v>46419</v>
      </c>
      <c r="Q62" s="1">
        <v>46760</v>
      </c>
      <c r="R62" s="2"/>
      <c r="S62" s="2"/>
      <c r="T62" s="2"/>
      <c r="U62" s="2"/>
      <c r="V62" s="2">
        <v>2027</v>
      </c>
    </row>
    <row r="63" spans="1:22" ht="13" customHeight="1">
      <c r="A63" s="9"/>
      <c r="B63" s="10">
        <v>3824</v>
      </c>
      <c r="C63" s="2" t="s">
        <v>104</v>
      </c>
      <c r="D63" s="1">
        <v>45846</v>
      </c>
      <c r="E63" s="1">
        <f t="shared" si="1"/>
        <v>46211</v>
      </c>
      <c r="F6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46211</v>
      </c>
      <c r="G63" s="1">
        <v>46211</v>
      </c>
      <c r="H63" s="2" t="s">
        <v>16</v>
      </c>
      <c r="I63" s="2" t="s">
        <v>109</v>
      </c>
      <c r="J63" s="2" t="s">
        <v>110</v>
      </c>
      <c r="K63" s="2" t="s">
        <v>111</v>
      </c>
      <c r="L63" s="8" t="s">
        <v>112</v>
      </c>
      <c r="M63" s="7">
        <v>99.9</v>
      </c>
      <c r="N63" s="2" t="s">
        <v>4</v>
      </c>
      <c r="O63" s="2" t="s">
        <v>202</v>
      </c>
      <c r="P63" s="1">
        <v>46905</v>
      </c>
      <c r="Q63" s="1">
        <v>47453</v>
      </c>
      <c r="R63" s="2"/>
      <c r="S63" s="2"/>
      <c r="T63" s="2"/>
      <c r="U63" s="2"/>
      <c r="V63" s="2">
        <v>2027</v>
      </c>
    </row>
    <row r="64" spans="1:22" ht="13" customHeight="1">
      <c r="A64" s="9"/>
      <c r="B64" s="11">
        <v>403</v>
      </c>
      <c r="C64" s="2" t="s">
        <v>104</v>
      </c>
      <c r="D64" s="1">
        <v>45835</v>
      </c>
      <c r="E64" s="1">
        <f t="shared" si="1"/>
        <v>46200</v>
      </c>
      <c r="F6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46200</v>
      </c>
      <c r="G64" s="1">
        <v>46200</v>
      </c>
      <c r="H64" s="2" t="s">
        <v>67</v>
      </c>
      <c r="I64" s="2" t="s">
        <v>109</v>
      </c>
      <c r="J64" s="2" t="s">
        <v>110</v>
      </c>
      <c r="K64" s="2" t="s">
        <v>111</v>
      </c>
      <c r="L64" s="8" t="s">
        <v>112</v>
      </c>
      <c r="M64" s="7">
        <v>200</v>
      </c>
      <c r="N64" s="2" t="s">
        <v>7</v>
      </c>
      <c r="O64" s="2" t="s">
        <v>42</v>
      </c>
      <c r="P64" s="1">
        <v>46386</v>
      </c>
      <c r="Q64" s="1">
        <v>47118</v>
      </c>
      <c r="R64" s="2"/>
      <c r="S64" s="2"/>
      <c r="T64" s="2"/>
      <c r="U64" s="2"/>
      <c r="V64" s="2">
        <v>2028</v>
      </c>
    </row>
    <row r="65" spans="1:22" ht="13" customHeight="1">
      <c r="A65" s="9"/>
      <c r="B65" s="10">
        <v>3741</v>
      </c>
      <c r="C65" s="2" t="s">
        <v>104</v>
      </c>
      <c r="D65" s="1">
        <v>45824</v>
      </c>
      <c r="E65" s="1">
        <f t="shared" si="1"/>
        <v>46189</v>
      </c>
      <c r="F6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46189</v>
      </c>
      <c r="G65" s="1">
        <v>46189</v>
      </c>
      <c r="H65" s="2" t="s">
        <v>53</v>
      </c>
      <c r="I65" s="2" t="s">
        <v>109</v>
      </c>
      <c r="J65" s="2" t="s">
        <v>123</v>
      </c>
      <c r="K65" s="2" t="s">
        <v>124</v>
      </c>
      <c r="L65" s="2" t="s">
        <v>125</v>
      </c>
      <c r="M65" s="3">
        <v>280</v>
      </c>
      <c r="N65" s="2" t="s">
        <v>14</v>
      </c>
      <c r="O65" s="2" t="s">
        <v>52</v>
      </c>
      <c r="P65" s="1">
        <v>46357</v>
      </c>
      <c r="Q65" s="1">
        <v>47118</v>
      </c>
      <c r="R65" s="2" t="s">
        <v>7</v>
      </c>
      <c r="S65" s="2" t="s">
        <v>42</v>
      </c>
      <c r="T65" s="2" t="s">
        <v>41</v>
      </c>
      <c r="U65" s="2">
        <v>47118</v>
      </c>
      <c r="V65" s="2">
        <v>2028</v>
      </c>
    </row>
    <row r="66" spans="1:22" ht="13" customHeight="1">
      <c r="A66" s="9"/>
      <c r="B66" s="10">
        <v>3822</v>
      </c>
      <c r="C66" s="2" t="s">
        <v>104</v>
      </c>
      <c r="D66" s="1">
        <v>45824</v>
      </c>
      <c r="E66" s="1">
        <f t="shared" si="1"/>
        <v>46189</v>
      </c>
      <c r="F6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46189</v>
      </c>
      <c r="G66" s="1">
        <v>46189</v>
      </c>
      <c r="H66" s="2" t="s">
        <v>17</v>
      </c>
      <c r="I66" s="2" t="s">
        <v>109</v>
      </c>
      <c r="J66" s="2" t="s">
        <v>110</v>
      </c>
      <c r="K66" s="2" t="s">
        <v>111</v>
      </c>
      <c r="L66" s="2" t="s">
        <v>112</v>
      </c>
      <c r="M66" s="3">
        <v>90</v>
      </c>
      <c r="N66" s="2" t="s">
        <v>3</v>
      </c>
      <c r="O66" s="2" t="s">
        <v>2</v>
      </c>
      <c r="P66" s="1">
        <v>46934</v>
      </c>
      <c r="Q66" s="1">
        <v>47452</v>
      </c>
      <c r="R66" s="2"/>
      <c r="S66" s="2"/>
      <c r="T66" s="2"/>
      <c r="U66" s="2"/>
      <c r="V66" s="2">
        <v>2028</v>
      </c>
    </row>
    <row r="67" spans="1:22" ht="13" customHeight="1">
      <c r="A67" s="9"/>
      <c r="B67" s="10">
        <v>3819</v>
      </c>
      <c r="C67" s="2" t="s">
        <v>104</v>
      </c>
      <c r="D67" s="1">
        <v>45821</v>
      </c>
      <c r="E67" s="1">
        <f t="shared" si="1"/>
        <v>46186</v>
      </c>
      <c r="F6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46186</v>
      </c>
      <c r="G67" s="1">
        <v>46186</v>
      </c>
      <c r="H67" s="2" t="s">
        <v>21</v>
      </c>
      <c r="I67" s="2" t="s">
        <v>109</v>
      </c>
      <c r="J67" s="2" t="s">
        <v>110</v>
      </c>
      <c r="K67" s="2" t="s">
        <v>111</v>
      </c>
      <c r="L67" s="2" t="s">
        <v>112</v>
      </c>
      <c r="M67" s="3">
        <v>9.9</v>
      </c>
      <c r="N67" s="2" t="s">
        <v>9</v>
      </c>
      <c r="O67" s="2" t="s">
        <v>20</v>
      </c>
      <c r="P67" s="1">
        <v>46722</v>
      </c>
      <c r="Q67" s="1">
        <v>46752</v>
      </c>
      <c r="R67" s="2" t="s">
        <v>0</v>
      </c>
      <c r="S67" s="2" t="s">
        <v>66</v>
      </c>
      <c r="T67" s="2" t="s">
        <v>65</v>
      </c>
      <c r="U67" s="2">
        <v>46752</v>
      </c>
      <c r="V67" s="2">
        <v>2028</v>
      </c>
    </row>
    <row r="68" spans="1:22" ht="13" customHeight="1">
      <c r="A68" s="9"/>
      <c r="B68" s="10">
        <v>3821</v>
      </c>
      <c r="C68" s="2" t="s">
        <v>104</v>
      </c>
      <c r="D68" s="1">
        <v>45821</v>
      </c>
      <c r="E68" s="1">
        <f t="shared" ref="E68:E99" si="2">IF(C68="Resolución UPME No. 749 de 2025",IF(I68="FASE 3", IF(ISBLANK(P68),D68+365,MIN(P68+365,P68)), IF(ISBLANK(P68),D68+730,MIN(D68+730,P68))),IF(I68="FASE 1", IF(ISBLANK(P68),D68+730,MIN(D68+730,P68)),IF(ISBLANK(P68),D68+365,MIN(D68+365,P68))))</f>
        <v>46186</v>
      </c>
      <c r="F6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46186</v>
      </c>
      <c r="G68" s="1">
        <v>46186</v>
      </c>
      <c r="H68" s="2" t="s">
        <v>19</v>
      </c>
      <c r="I68" s="2" t="s">
        <v>109</v>
      </c>
      <c r="J68" s="2" t="s">
        <v>110</v>
      </c>
      <c r="K68" s="2" t="s">
        <v>111</v>
      </c>
      <c r="L68" s="2" t="s">
        <v>112</v>
      </c>
      <c r="M68" s="3">
        <v>9.9</v>
      </c>
      <c r="N68" s="2" t="s">
        <v>4</v>
      </c>
      <c r="O68" s="2" t="s">
        <v>18</v>
      </c>
      <c r="P68" s="1">
        <v>46568</v>
      </c>
      <c r="Q68" s="1">
        <v>46752</v>
      </c>
      <c r="R68" s="2"/>
      <c r="S68" s="2"/>
      <c r="T68" s="2"/>
      <c r="U68" s="2"/>
      <c r="V68" s="2">
        <v>2028</v>
      </c>
    </row>
    <row r="69" spans="1:22" ht="13" customHeight="1">
      <c r="A69" s="9"/>
      <c r="B69" s="10">
        <v>1063</v>
      </c>
      <c r="C69" s="2" t="s">
        <v>104</v>
      </c>
      <c r="D69" s="1">
        <v>45820</v>
      </c>
      <c r="E69" s="1">
        <f t="shared" si="2"/>
        <v>46173</v>
      </c>
      <c r="F6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46173</v>
      </c>
      <c r="G69" s="1">
        <v>46173</v>
      </c>
      <c r="H69" s="2" t="s">
        <v>63</v>
      </c>
      <c r="I69" s="2" t="s">
        <v>109</v>
      </c>
      <c r="J69" s="2" t="s">
        <v>110</v>
      </c>
      <c r="K69" s="2" t="s">
        <v>111</v>
      </c>
      <c r="L69" s="8" t="s">
        <v>112</v>
      </c>
      <c r="M69" s="7">
        <v>9.9</v>
      </c>
      <c r="N69" s="2" t="s">
        <v>9</v>
      </c>
      <c r="O69" s="2" t="s">
        <v>218</v>
      </c>
      <c r="P69" s="1">
        <v>46173</v>
      </c>
      <c r="Q69" s="1">
        <v>46356</v>
      </c>
      <c r="R69" s="2"/>
      <c r="S69" s="2"/>
      <c r="T69" s="2"/>
      <c r="U69" s="2"/>
      <c r="V69" s="2">
        <v>2027</v>
      </c>
    </row>
    <row r="70" spans="1:22" ht="13" customHeight="1">
      <c r="A70" s="9"/>
      <c r="B70" s="10">
        <v>3775</v>
      </c>
      <c r="C70" s="2" t="s">
        <v>104</v>
      </c>
      <c r="D70" s="1">
        <v>45811</v>
      </c>
      <c r="E70" s="1">
        <f t="shared" si="2"/>
        <v>46176</v>
      </c>
      <c r="F7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46176</v>
      </c>
      <c r="G70" s="1">
        <v>46176</v>
      </c>
      <c r="H70" s="2" t="s">
        <v>35</v>
      </c>
      <c r="I70" s="2" t="s">
        <v>109</v>
      </c>
      <c r="J70" s="2" t="s">
        <v>110</v>
      </c>
      <c r="K70" s="2" t="s">
        <v>111</v>
      </c>
      <c r="L70" s="8" t="s">
        <v>112</v>
      </c>
      <c r="M70" s="7">
        <v>180</v>
      </c>
      <c r="N70" s="2" t="s">
        <v>4</v>
      </c>
      <c r="O70" s="2" t="s">
        <v>34</v>
      </c>
      <c r="P70" s="1">
        <v>46388</v>
      </c>
      <c r="Q70" s="1">
        <v>47118</v>
      </c>
      <c r="R70" s="2"/>
      <c r="S70" s="2"/>
      <c r="T70" s="2"/>
      <c r="U70" s="2"/>
      <c r="V70" s="2">
        <v>2027</v>
      </c>
    </row>
    <row r="71" spans="1:22" ht="13" customHeight="1">
      <c r="A71" s="9"/>
      <c r="B71" s="10">
        <v>3801</v>
      </c>
      <c r="C71" s="2" t="s">
        <v>104</v>
      </c>
      <c r="D71" s="1">
        <v>45803</v>
      </c>
      <c r="E71" s="1">
        <f t="shared" si="2"/>
        <v>46168</v>
      </c>
      <c r="F7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46168</v>
      </c>
      <c r="G71" s="1">
        <v>46168</v>
      </c>
      <c r="H71" s="2" t="s">
        <v>28</v>
      </c>
      <c r="I71" s="2" t="s">
        <v>109</v>
      </c>
      <c r="J71" s="2" t="s">
        <v>110</v>
      </c>
      <c r="K71" s="2" t="s">
        <v>111</v>
      </c>
      <c r="L71" s="8" t="s">
        <v>112</v>
      </c>
      <c r="M71" s="7">
        <v>9.9</v>
      </c>
      <c r="N71" s="2" t="s">
        <v>165</v>
      </c>
      <c r="O71" s="2" t="s">
        <v>219</v>
      </c>
      <c r="P71" s="1">
        <v>46356</v>
      </c>
      <c r="Q71" s="1">
        <v>46568</v>
      </c>
      <c r="R71" s="2"/>
      <c r="S71" s="2"/>
      <c r="T71" s="2"/>
      <c r="U71" s="2"/>
      <c r="V71" s="2">
        <v>2030</v>
      </c>
    </row>
    <row r="72" spans="1:22" ht="13" customHeight="1">
      <c r="A72" s="9"/>
      <c r="B72" s="10">
        <v>3639</v>
      </c>
      <c r="C72" s="2" t="s">
        <v>104</v>
      </c>
      <c r="D72" s="1">
        <v>45775</v>
      </c>
      <c r="E72" s="1">
        <f t="shared" si="2"/>
        <v>46140</v>
      </c>
      <c r="F7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46140</v>
      </c>
      <c r="G72" s="1">
        <v>46140</v>
      </c>
      <c r="H72" s="2" t="s">
        <v>55</v>
      </c>
      <c r="I72" s="2" t="s">
        <v>109</v>
      </c>
      <c r="J72" s="2" t="s">
        <v>110</v>
      </c>
      <c r="K72" s="2" t="s">
        <v>111</v>
      </c>
      <c r="L72" s="8" t="s">
        <v>112</v>
      </c>
      <c r="M72" s="7">
        <v>9.9</v>
      </c>
      <c r="N72" s="2" t="s">
        <v>14</v>
      </c>
      <c r="O72" s="2" t="s">
        <v>220</v>
      </c>
      <c r="P72" s="1">
        <v>46204</v>
      </c>
      <c r="Q72" s="1">
        <v>46386</v>
      </c>
      <c r="R72" s="2"/>
      <c r="S72" s="2"/>
      <c r="T72" s="2"/>
      <c r="U72" s="2"/>
      <c r="V72" s="2">
        <v>2030</v>
      </c>
    </row>
    <row r="73" spans="1:22" ht="13" customHeight="1">
      <c r="A73" s="9"/>
      <c r="B73" s="10">
        <v>3815</v>
      </c>
      <c r="C73" s="2" t="s">
        <v>104</v>
      </c>
      <c r="D73" s="1">
        <v>45775</v>
      </c>
      <c r="E73" s="1">
        <f t="shared" si="2"/>
        <v>46204</v>
      </c>
      <c r="F7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46204</v>
      </c>
      <c r="G73" s="1">
        <v>46204</v>
      </c>
      <c r="H73" s="2" t="s">
        <v>22</v>
      </c>
      <c r="I73" s="2" t="s">
        <v>148</v>
      </c>
      <c r="J73" s="2" t="s">
        <v>117</v>
      </c>
      <c r="K73" s="2" t="s">
        <v>118</v>
      </c>
      <c r="L73" s="8" t="s">
        <v>119</v>
      </c>
      <c r="M73" s="7">
        <v>9.9</v>
      </c>
      <c r="N73" s="2" t="s">
        <v>3</v>
      </c>
      <c r="O73" s="2" t="s">
        <v>221</v>
      </c>
      <c r="P73" s="1">
        <v>46204</v>
      </c>
      <c r="Q73" s="1">
        <v>47300</v>
      </c>
      <c r="R73" s="2"/>
      <c r="S73" s="2"/>
      <c r="T73" s="2"/>
      <c r="U73" s="2"/>
      <c r="V73" s="2">
        <v>2028</v>
      </c>
    </row>
    <row r="74" spans="1:22" ht="13" customHeight="1">
      <c r="A74" s="9"/>
      <c r="B74" s="10">
        <v>1666</v>
      </c>
      <c r="C74" s="2" t="s">
        <v>104</v>
      </c>
      <c r="D74" s="1">
        <v>45763</v>
      </c>
      <c r="E74" s="1">
        <f t="shared" si="2"/>
        <v>46493</v>
      </c>
      <c r="F7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46493</v>
      </c>
      <c r="G74" s="1">
        <v>46493</v>
      </c>
      <c r="H74" s="2" t="s">
        <v>59</v>
      </c>
      <c r="I74" s="2" t="s">
        <v>148</v>
      </c>
      <c r="J74" s="2" t="s">
        <v>123</v>
      </c>
      <c r="K74" s="2" t="s">
        <v>124</v>
      </c>
      <c r="L74" s="8" t="s">
        <v>161</v>
      </c>
      <c r="M74" s="7">
        <v>200</v>
      </c>
      <c r="N74" s="2" t="s">
        <v>9</v>
      </c>
      <c r="O74" s="2" t="s">
        <v>222</v>
      </c>
      <c r="P74" s="1">
        <v>48549</v>
      </c>
      <c r="Q74" s="1">
        <v>48731</v>
      </c>
      <c r="R74" s="2"/>
      <c r="S74" s="2"/>
      <c r="T74" s="2"/>
      <c r="U74" s="2"/>
      <c r="V74" s="2">
        <v>2027</v>
      </c>
    </row>
    <row r="75" spans="1:22" ht="13" customHeight="1">
      <c r="A75" s="9"/>
      <c r="B75" s="10">
        <v>3808</v>
      </c>
      <c r="C75" s="2" t="s">
        <v>104</v>
      </c>
      <c r="D75" s="1">
        <v>45742</v>
      </c>
      <c r="E75" s="1">
        <f t="shared" si="2"/>
        <v>46472</v>
      </c>
      <c r="F7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46472</v>
      </c>
      <c r="G75" s="1">
        <v>46472</v>
      </c>
      <c r="H75" s="2" t="s">
        <v>27</v>
      </c>
      <c r="I75" s="2" t="s">
        <v>148</v>
      </c>
      <c r="J75" s="2" t="s">
        <v>123</v>
      </c>
      <c r="K75" s="2" t="s">
        <v>124</v>
      </c>
      <c r="L75" s="8" t="s">
        <v>125</v>
      </c>
      <c r="M75" s="7">
        <v>150</v>
      </c>
      <c r="N75" s="2" t="s">
        <v>185</v>
      </c>
      <c r="O75" s="2" t="s">
        <v>211</v>
      </c>
      <c r="P75" s="1">
        <v>46752</v>
      </c>
      <c r="Q75" s="1">
        <v>47483</v>
      </c>
      <c r="R75" s="2"/>
      <c r="S75" s="2"/>
      <c r="T75" s="2"/>
      <c r="U75" s="2"/>
      <c r="V75" s="2">
        <v>2030</v>
      </c>
    </row>
    <row r="76" spans="1:22" ht="13" customHeight="1">
      <c r="A76" s="9"/>
      <c r="B76" s="10">
        <v>3812</v>
      </c>
      <c r="C76" s="2" t="s">
        <v>104</v>
      </c>
      <c r="D76" s="1">
        <v>45728</v>
      </c>
      <c r="E76" s="1">
        <f t="shared" si="2"/>
        <v>46174</v>
      </c>
      <c r="F7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76" s="1">
        <v>46174</v>
      </c>
      <c r="H76" s="2" t="s">
        <v>24</v>
      </c>
      <c r="I76" s="2" t="s">
        <v>148</v>
      </c>
      <c r="J76" s="2" t="s">
        <v>110</v>
      </c>
      <c r="K76" s="2" t="s">
        <v>111</v>
      </c>
      <c r="L76" s="8" t="s">
        <v>112</v>
      </c>
      <c r="M76" s="7">
        <v>0.999</v>
      </c>
      <c r="N76" s="2" t="s">
        <v>163</v>
      </c>
      <c r="O76" s="2" t="s">
        <v>164</v>
      </c>
      <c r="P76" s="1">
        <v>46174</v>
      </c>
      <c r="Q76" s="1">
        <v>46568</v>
      </c>
      <c r="R76" s="2"/>
      <c r="S76" s="2"/>
      <c r="T76" s="2"/>
      <c r="U76" s="2"/>
      <c r="V76" s="2">
        <v>2030</v>
      </c>
    </row>
    <row r="77" spans="1:22" ht="13" customHeight="1">
      <c r="A77" s="9"/>
      <c r="B77" s="11">
        <v>3813</v>
      </c>
      <c r="C77" s="2" t="s">
        <v>104</v>
      </c>
      <c r="D77" s="1">
        <v>45728</v>
      </c>
      <c r="E77" s="1">
        <f t="shared" si="2"/>
        <v>46174</v>
      </c>
      <c r="F7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77" s="1">
        <v>46174</v>
      </c>
      <c r="H77" s="2" t="s">
        <v>23</v>
      </c>
      <c r="I77" s="2" t="s">
        <v>148</v>
      </c>
      <c r="J77" s="2" t="s">
        <v>110</v>
      </c>
      <c r="K77" s="2" t="s">
        <v>111</v>
      </c>
      <c r="L77" s="8" t="s">
        <v>112</v>
      </c>
      <c r="M77" s="7">
        <v>0.999</v>
      </c>
      <c r="N77" s="2" t="s">
        <v>163</v>
      </c>
      <c r="O77" s="2" t="s">
        <v>164</v>
      </c>
      <c r="P77" s="1">
        <v>46174</v>
      </c>
      <c r="Q77" s="1">
        <v>46568</v>
      </c>
      <c r="R77" s="2"/>
      <c r="S77" s="2"/>
      <c r="T77" s="2"/>
      <c r="U77" s="2"/>
      <c r="V77" s="2">
        <v>2028</v>
      </c>
    </row>
    <row r="78" spans="1:22" ht="13" customHeight="1">
      <c r="A78" s="9"/>
      <c r="B78" s="11">
        <v>3811</v>
      </c>
      <c r="C78" s="2" t="s">
        <v>104</v>
      </c>
      <c r="D78" s="1">
        <v>45726</v>
      </c>
      <c r="E78" s="1">
        <f t="shared" si="2"/>
        <v>46174</v>
      </c>
      <c r="F7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78" s="1">
        <v>46174</v>
      </c>
      <c r="H78" s="2" t="s">
        <v>25</v>
      </c>
      <c r="I78" s="2" t="s">
        <v>148</v>
      </c>
      <c r="J78" s="2" t="s">
        <v>110</v>
      </c>
      <c r="K78" s="2" t="s">
        <v>111</v>
      </c>
      <c r="L78" s="8" t="s">
        <v>112</v>
      </c>
      <c r="M78" s="7">
        <v>0.999</v>
      </c>
      <c r="N78" s="2" t="s">
        <v>163</v>
      </c>
      <c r="O78" s="2" t="s">
        <v>197</v>
      </c>
      <c r="P78" s="1">
        <v>46174</v>
      </c>
      <c r="Q78" s="1">
        <v>46568</v>
      </c>
      <c r="R78" s="2"/>
      <c r="S78" s="2"/>
      <c r="T78" s="2"/>
      <c r="U78" s="2"/>
      <c r="V78" s="2">
        <v>2029</v>
      </c>
    </row>
    <row r="79" spans="1:22" ht="13" customHeight="1">
      <c r="A79" s="9"/>
      <c r="B79" s="11">
        <v>1511</v>
      </c>
      <c r="C79" s="2" t="s">
        <v>104</v>
      </c>
      <c r="D79" s="1">
        <v>45723</v>
      </c>
      <c r="E79" s="1">
        <f t="shared" si="2"/>
        <v>46296</v>
      </c>
      <c r="F7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46296</v>
      </c>
      <c r="G79" s="1">
        <v>46296</v>
      </c>
      <c r="H79" s="2" t="s">
        <v>60</v>
      </c>
      <c r="I79" s="2" t="s">
        <v>148</v>
      </c>
      <c r="J79" s="2" t="s">
        <v>117</v>
      </c>
      <c r="K79" s="2" t="s">
        <v>118</v>
      </c>
      <c r="L79" s="2" t="s">
        <v>119</v>
      </c>
      <c r="M79" s="3">
        <v>19.95</v>
      </c>
      <c r="N79" s="2" t="s">
        <v>223</v>
      </c>
      <c r="O79" s="2" t="s">
        <v>224</v>
      </c>
      <c r="P79" s="1">
        <v>46296</v>
      </c>
      <c r="Q79" s="1">
        <v>47362</v>
      </c>
      <c r="R79" s="2"/>
      <c r="S79" s="2"/>
      <c r="T79" s="2"/>
      <c r="U79" s="2"/>
      <c r="V79" s="2">
        <v>2027</v>
      </c>
    </row>
    <row r="80" spans="1:22" ht="13" customHeight="1">
      <c r="A80" s="9"/>
      <c r="B80" s="10">
        <v>3802</v>
      </c>
      <c r="C80" s="2" t="s">
        <v>104</v>
      </c>
      <c r="D80" s="1">
        <v>45719</v>
      </c>
      <c r="E80" s="1">
        <f t="shared" si="2"/>
        <v>46174</v>
      </c>
      <c r="F8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80" s="1">
        <v>46174</v>
      </c>
      <c r="H80" s="2" t="s">
        <v>162</v>
      </c>
      <c r="I80" s="2" t="s">
        <v>148</v>
      </c>
      <c r="J80" s="2" t="s">
        <v>110</v>
      </c>
      <c r="K80" s="2" t="s">
        <v>111</v>
      </c>
      <c r="L80" s="8" t="s">
        <v>112</v>
      </c>
      <c r="M80" s="7">
        <v>250</v>
      </c>
      <c r="N80" s="2" t="s">
        <v>163</v>
      </c>
      <c r="O80" s="2" t="s">
        <v>197</v>
      </c>
      <c r="P80" s="1">
        <v>46174</v>
      </c>
      <c r="Q80" s="1">
        <v>46721</v>
      </c>
      <c r="R80" s="2"/>
      <c r="S80" s="2"/>
      <c r="T80" s="2"/>
      <c r="U80" s="2"/>
      <c r="V80" s="2">
        <v>2027</v>
      </c>
    </row>
    <row r="81" spans="1:22" ht="13" customHeight="1">
      <c r="A81" s="9"/>
      <c r="B81" s="10">
        <v>3809</v>
      </c>
      <c r="C81" s="2" t="s">
        <v>104</v>
      </c>
      <c r="D81" s="1">
        <v>45719</v>
      </c>
      <c r="E81" s="1">
        <f t="shared" si="2"/>
        <v>46174</v>
      </c>
      <c r="F8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81" s="1">
        <v>46174</v>
      </c>
      <c r="H81" s="2" t="s">
        <v>26</v>
      </c>
      <c r="I81" s="2" t="s">
        <v>148</v>
      </c>
      <c r="J81" s="2" t="s">
        <v>110</v>
      </c>
      <c r="K81" s="2" t="s">
        <v>111</v>
      </c>
      <c r="L81" s="2" t="s">
        <v>112</v>
      </c>
      <c r="M81" s="3">
        <v>0.999</v>
      </c>
      <c r="N81" s="2" t="s">
        <v>163</v>
      </c>
      <c r="O81" s="2" t="s">
        <v>197</v>
      </c>
      <c r="P81" s="1">
        <v>46174</v>
      </c>
      <c r="Q81" s="1">
        <v>46568</v>
      </c>
      <c r="R81" s="2" t="s">
        <v>14</v>
      </c>
      <c r="S81" s="2" t="s">
        <v>52</v>
      </c>
      <c r="T81" s="2" t="s">
        <v>61</v>
      </c>
      <c r="U81" s="2">
        <v>47118</v>
      </c>
      <c r="V81" s="2">
        <v>2027</v>
      </c>
    </row>
    <row r="82" spans="1:22" ht="13" customHeight="1">
      <c r="A82" s="9"/>
      <c r="B82" s="11">
        <v>3793</v>
      </c>
      <c r="C82" s="2" t="s">
        <v>104</v>
      </c>
      <c r="D82" s="1">
        <v>45700</v>
      </c>
      <c r="E82" s="1">
        <f t="shared" si="2"/>
        <v>46388</v>
      </c>
      <c r="F8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46388</v>
      </c>
      <c r="G82" s="1">
        <v>46388</v>
      </c>
      <c r="H82" s="2" t="s">
        <v>31</v>
      </c>
      <c r="I82" s="2" t="s">
        <v>148</v>
      </c>
      <c r="J82" s="2" t="s">
        <v>110</v>
      </c>
      <c r="K82" s="2" t="s">
        <v>111</v>
      </c>
      <c r="L82" s="2" t="s">
        <v>112</v>
      </c>
      <c r="M82" s="3">
        <v>40</v>
      </c>
      <c r="N82" s="2" t="s">
        <v>223</v>
      </c>
      <c r="O82" s="2" t="s">
        <v>30</v>
      </c>
      <c r="P82" s="1">
        <v>46388</v>
      </c>
      <c r="Q82" s="1">
        <v>46752</v>
      </c>
      <c r="R82" s="2" t="s">
        <v>9</v>
      </c>
      <c r="S82" s="2" t="s">
        <v>20</v>
      </c>
      <c r="T82" s="2" t="s">
        <v>80</v>
      </c>
      <c r="U82" s="2">
        <v>46752</v>
      </c>
      <c r="V82" s="2">
        <v>2026</v>
      </c>
    </row>
    <row r="83" spans="1:22" ht="13" customHeight="1">
      <c r="A83" s="9"/>
      <c r="B83" s="10">
        <v>3798</v>
      </c>
      <c r="C83" s="2" t="s">
        <v>104</v>
      </c>
      <c r="D83" s="1">
        <v>45679</v>
      </c>
      <c r="E83" s="1">
        <f t="shared" si="2"/>
        <v>46388</v>
      </c>
      <c r="F8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46388</v>
      </c>
      <c r="G83" s="1">
        <v>46388</v>
      </c>
      <c r="H83" s="2" t="s">
        <v>29</v>
      </c>
      <c r="I83" s="2" t="s">
        <v>148</v>
      </c>
      <c r="J83" s="2" t="s">
        <v>110</v>
      </c>
      <c r="K83" s="2" t="s">
        <v>111</v>
      </c>
      <c r="L83" s="8" t="s">
        <v>112</v>
      </c>
      <c r="M83" s="7">
        <v>19.899999999999999</v>
      </c>
      <c r="N83" s="2" t="s">
        <v>4</v>
      </c>
      <c r="O83" s="2" t="s">
        <v>178</v>
      </c>
      <c r="P83" s="1">
        <v>46388</v>
      </c>
      <c r="Q83" s="1">
        <v>46752</v>
      </c>
      <c r="R83" s="2"/>
      <c r="S83" s="2"/>
      <c r="T83" s="2"/>
      <c r="U83" s="2"/>
      <c r="V83" s="2">
        <v>2027</v>
      </c>
    </row>
    <row r="84" spans="1:22" ht="13" customHeight="1">
      <c r="A84" s="9"/>
      <c r="B84" s="10">
        <v>3791</v>
      </c>
      <c r="C84" s="2" t="s">
        <v>104</v>
      </c>
      <c r="D84" s="1">
        <v>45657</v>
      </c>
      <c r="E84" s="1">
        <f t="shared" si="2"/>
        <v>46174</v>
      </c>
      <c r="F8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84" s="1">
        <v>46174</v>
      </c>
      <c r="H84" s="2" t="s">
        <v>32</v>
      </c>
      <c r="I84" s="2" t="s">
        <v>148</v>
      </c>
      <c r="J84" s="2" t="s">
        <v>110</v>
      </c>
      <c r="K84" s="2" t="s">
        <v>111</v>
      </c>
      <c r="L84" s="2" t="s">
        <v>112</v>
      </c>
      <c r="M84" s="3">
        <v>150</v>
      </c>
      <c r="N84" s="2" t="s">
        <v>223</v>
      </c>
      <c r="O84" s="2" t="s">
        <v>30</v>
      </c>
      <c r="P84" s="1">
        <v>46174</v>
      </c>
      <c r="Q84" s="1">
        <v>46751</v>
      </c>
      <c r="R84" s="2"/>
      <c r="S84" s="2"/>
      <c r="T84" s="2"/>
      <c r="U84" s="2"/>
      <c r="V84" s="2">
        <v>2028</v>
      </c>
    </row>
    <row r="85" spans="1:22" ht="13" customHeight="1">
      <c r="A85" s="9"/>
      <c r="B85" s="10">
        <v>3542</v>
      </c>
      <c r="C85" s="2" t="s">
        <v>104</v>
      </c>
      <c r="D85" s="1">
        <v>45646</v>
      </c>
      <c r="E85" s="1">
        <f t="shared" si="2"/>
        <v>46203</v>
      </c>
      <c r="F8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46203</v>
      </c>
      <c r="G85" s="1">
        <v>46203</v>
      </c>
      <c r="H85" s="2" t="s">
        <v>57</v>
      </c>
      <c r="I85" s="2" t="s">
        <v>148</v>
      </c>
      <c r="J85" s="2" t="s">
        <v>117</v>
      </c>
      <c r="K85" s="2" t="s">
        <v>118</v>
      </c>
      <c r="L85" s="2" t="s">
        <v>119</v>
      </c>
      <c r="M85" s="3">
        <v>4.8</v>
      </c>
      <c r="N85" s="2" t="s">
        <v>4</v>
      </c>
      <c r="O85" s="2" t="s">
        <v>225</v>
      </c>
      <c r="P85" s="1">
        <v>46203</v>
      </c>
      <c r="Q85" s="1">
        <v>47118</v>
      </c>
      <c r="R85" s="2"/>
      <c r="S85" s="2"/>
      <c r="T85" s="2"/>
      <c r="U85" s="2"/>
      <c r="V85" s="2">
        <v>2032</v>
      </c>
    </row>
    <row r="86" spans="1:22" ht="13" customHeight="1">
      <c r="A86" s="9"/>
      <c r="B86" s="10">
        <v>3781</v>
      </c>
      <c r="C86" s="2" t="s">
        <v>104</v>
      </c>
      <c r="D86" s="1">
        <v>45607</v>
      </c>
      <c r="E86" s="1">
        <f t="shared" si="2"/>
        <v>46204</v>
      </c>
      <c r="F8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46204</v>
      </c>
      <c r="G86" s="1">
        <v>46204</v>
      </c>
      <c r="H86" s="2" t="s">
        <v>33</v>
      </c>
      <c r="I86" s="2" t="s">
        <v>148</v>
      </c>
      <c r="J86" s="2" t="s">
        <v>110</v>
      </c>
      <c r="K86" s="2" t="s">
        <v>111</v>
      </c>
      <c r="L86" s="8" t="s">
        <v>112</v>
      </c>
      <c r="M86" s="7">
        <v>30.6</v>
      </c>
      <c r="N86" s="2" t="s">
        <v>0</v>
      </c>
      <c r="O86" s="2" t="s">
        <v>226</v>
      </c>
      <c r="P86" s="1">
        <v>46204</v>
      </c>
      <c r="Q86" s="1">
        <v>46598</v>
      </c>
      <c r="R86" s="2"/>
      <c r="S86" s="2"/>
      <c r="T86" s="2"/>
      <c r="U86" s="2"/>
      <c r="V86" s="2">
        <v>2026</v>
      </c>
    </row>
    <row r="87" spans="1:22" ht="13" customHeight="1">
      <c r="A87" s="9"/>
      <c r="B87" s="10">
        <v>3771</v>
      </c>
      <c r="C87" s="2" t="s">
        <v>104</v>
      </c>
      <c r="D87" s="1">
        <v>45581</v>
      </c>
      <c r="E87" s="1">
        <f t="shared" si="2"/>
        <v>46311</v>
      </c>
      <c r="F8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46311</v>
      </c>
      <c r="G87" s="1">
        <v>46311</v>
      </c>
      <c r="H87" s="2" t="s">
        <v>36</v>
      </c>
      <c r="I87" s="2" t="s">
        <v>148</v>
      </c>
      <c r="J87" s="2" t="s">
        <v>110</v>
      </c>
      <c r="K87" s="2" t="s">
        <v>111</v>
      </c>
      <c r="L87" s="8" t="s">
        <v>112</v>
      </c>
      <c r="M87" s="7">
        <v>150</v>
      </c>
      <c r="N87" s="2" t="s">
        <v>3</v>
      </c>
      <c r="O87" s="2" t="s">
        <v>184</v>
      </c>
      <c r="P87" s="1">
        <v>46419</v>
      </c>
      <c r="Q87" s="1">
        <v>46934</v>
      </c>
      <c r="R87" s="2"/>
      <c r="S87" s="2"/>
      <c r="T87" s="2"/>
      <c r="U87" s="2"/>
      <c r="V87" s="2">
        <v>2027</v>
      </c>
    </row>
    <row r="88" spans="1:22" ht="13" customHeight="1">
      <c r="A88" s="9"/>
      <c r="B88" s="10">
        <v>3769</v>
      </c>
      <c r="C88" s="2" t="s">
        <v>104</v>
      </c>
      <c r="D88" s="1">
        <v>45547</v>
      </c>
      <c r="E88" s="1">
        <f t="shared" si="2"/>
        <v>46235</v>
      </c>
      <c r="F8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46235</v>
      </c>
      <c r="G88" s="1">
        <v>46235</v>
      </c>
      <c r="H88" s="2" t="s">
        <v>37</v>
      </c>
      <c r="I88" s="2" t="s">
        <v>148</v>
      </c>
      <c r="J88" s="2" t="s">
        <v>110</v>
      </c>
      <c r="K88" s="2" t="s">
        <v>111</v>
      </c>
      <c r="L88" s="8" t="s">
        <v>112</v>
      </c>
      <c r="M88" s="7">
        <v>80</v>
      </c>
      <c r="N88" s="2" t="s">
        <v>216</v>
      </c>
      <c r="O88" s="2" t="s">
        <v>227</v>
      </c>
      <c r="P88" s="1">
        <v>46235</v>
      </c>
      <c r="Q88" s="1">
        <v>46751</v>
      </c>
      <c r="R88" s="2"/>
      <c r="S88" s="2"/>
      <c r="T88" s="2"/>
      <c r="U88" s="2"/>
      <c r="V88" s="2">
        <v>2029</v>
      </c>
    </row>
    <row r="89" spans="1:22" ht="13" customHeight="1">
      <c r="A89" s="9"/>
      <c r="B89" s="10">
        <v>3764</v>
      </c>
      <c r="C89" s="2" t="s">
        <v>104</v>
      </c>
      <c r="D89" s="1">
        <v>45533</v>
      </c>
      <c r="E89" s="1">
        <f t="shared" si="2"/>
        <v>46174</v>
      </c>
      <c r="F8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89" s="1">
        <v>46174</v>
      </c>
      <c r="H89" s="2" t="s">
        <v>43</v>
      </c>
      <c r="I89" s="2" t="s">
        <v>148</v>
      </c>
      <c r="J89" s="2" t="s">
        <v>110</v>
      </c>
      <c r="K89" s="2" t="s">
        <v>111</v>
      </c>
      <c r="L89" s="2" t="s">
        <v>112</v>
      </c>
      <c r="M89" s="3">
        <v>0.99</v>
      </c>
      <c r="N89" s="2" t="s">
        <v>163</v>
      </c>
      <c r="O89" s="2" t="s">
        <v>197</v>
      </c>
      <c r="P89" s="1">
        <v>46174</v>
      </c>
      <c r="Q89" s="1">
        <v>46568</v>
      </c>
      <c r="R89" s="2"/>
      <c r="S89" s="2"/>
      <c r="T89" s="2"/>
      <c r="U89" s="2"/>
      <c r="V89" s="2">
        <v>2030</v>
      </c>
    </row>
    <row r="90" spans="1:22" ht="13" customHeight="1">
      <c r="A90" s="9"/>
      <c r="B90" s="10">
        <v>3765</v>
      </c>
      <c r="C90" s="2" t="s">
        <v>104</v>
      </c>
      <c r="D90" s="1">
        <v>45533</v>
      </c>
      <c r="E90" s="1">
        <f t="shared" si="2"/>
        <v>46174</v>
      </c>
      <c r="F9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90" s="1">
        <v>46174</v>
      </c>
      <c r="H90" s="2" t="s">
        <v>40</v>
      </c>
      <c r="I90" s="2" t="s">
        <v>148</v>
      </c>
      <c r="J90" s="2" t="s">
        <v>110</v>
      </c>
      <c r="K90" s="2" t="s">
        <v>111</v>
      </c>
      <c r="L90" s="8" t="s">
        <v>112</v>
      </c>
      <c r="M90" s="7">
        <v>0.99</v>
      </c>
      <c r="N90" s="2" t="s">
        <v>163</v>
      </c>
      <c r="O90" s="2" t="s">
        <v>197</v>
      </c>
      <c r="P90" s="1">
        <v>46174</v>
      </c>
      <c r="Q90" s="1">
        <v>46568</v>
      </c>
      <c r="R90" s="2"/>
      <c r="S90" s="2"/>
      <c r="T90" s="2"/>
      <c r="U90" s="2"/>
      <c r="V90" s="2">
        <v>2027</v>
      </c>
    </row>
    <row r="91" spans="1:22" ht="13" customHeight="1">
      <c r="A91" s="9"/>
      <c r="B91" s="11">
        <v>3766</v>
      </c>
      <c r="C91" s="2" t="s">
        <v>104</v>
      </c>
      <c r="D91" s="1">
        <v>45533</v>
      </c>
      <c r="E91" s="1">
        <f t="shared" si="2"/>
        <v>46174</v>
      </c>
      <c r="F9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91" s="1">
        <v>46174</v>
      </c>
      <c r="H91" s="2" t="s">
        <v>39</v>
      </c>
      <c r="I91" s="2" t="s">
        <v>148</v>
      </c>
      <c r="J91" s="2" t="s">
        <v>110</v>
      </c>
      <c r="K91" s="2" t="s">
        <v>111</v>
      </c>
      <c r="L91" s="2" t="s">
        <v>112</v>
      </c>
      <c r="M91" s="3">
        <v>0.99</v>
      </c>
      <c r="N91" s="2" t="s">
        <v>163</v>
      </c>
      <c r="O91" s="2" t="s">
        <v>228</v>
      </c>
      <c r="P91" s="1">
        <v>46174</v>
      </c>
      <c r="Q91" s="1">
        <v>46568</v>
      </c>
      <c r="R91" s="2" t="s">
        <v>14</v>
      </c>
      <c r="S91" s="2" t="s">
        <v>13</v>
      </c>
      <c r="T91" s="2" t="s">
        <v>78</v>
      </c>
      <c r="U91" s="2">
        <v>46053</v>
      </c>
      <c r="V91" s="2">
        <v>2027</v>
      </c>
    </row>
    <row r="92" spans="1:22" ht="14.5" customHeight="1">
      <c r="A92" s="9"/>
      <c r="B92" s="11">
        <v>3767</v>
      </c>
      <c r="C92" s="2" t="s">
        <v>104</v>
      </c>
      <c r="D92" s="1">
        <v>45533</v>
      </c>
      <c r="E92" s="1">
        <f t="shared" si="2"/>
        <v>46174</v>
      </c>
      <c r="F92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46174</v>
      </c>
      <c r="G92" s="1">
        <v>46174</v>
      </c>
      <c r="H92" s="2" t="s">
        <v>38</v>
      </c>
      <c r="I92" s="2" t="s">
        <v>148</v>
      </c>
      <c r="J92" s="2" t="s">
        <v>110</v>
      </c>
      <c r="K92" s="2" t="s">
        <v>111</v>
      </c>
      <c r="L92" s="2" t="s">
        <v>112</v>
      </c>
      <c r="M92" s="3">
        <v>0.99</v>
      </c>
      <c r="N92" s="2" t="s">
        <v>163</v>
      </c>
      <c r="O92" s="2" t="s">
        <v>228</v>
      </c>
      <c r="P92" s="1">
        <v>46174</v>
      </c>
      <c r="Q92" s="1">
        <v>46568</v>
      </c>
      <c r="R92" s="2"/>
      <c r="S92" s="2"/>
      <c r="T92" s="2"/>
      <c r="U92" s="2"/>
      <c r="V92" s="2">
        <v>2026</v>
      </c>
    </row>
    <row r="93" spans="1:22" ht="14.5" customHeight="1">
      <c r="A93" s="9"/>
      <c r="B93" s="11">
        <v>3761</v>
      </c>
      <c r="C93" s="2" t="s">
        <v>104</v>
      </c>
      <c r="D93" s="1">
        <v>45502</v>
      </c>
      <c r="E93" s="1">
        <f t="shared" si="2"/>
        <v>46232</v>
      </c>
      <c r="F93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46232</v>
      </c>
      <c r="G93" s="1">
        <v>46232</v>
      </c>
      <c r="H93" s="2" t="s">
        <v>44</v>
      </c>
      <c r="I93" s="2" t="s">
        <v>148</v>
      </c>
      <c r="J93" s="2" t="s">
        <v>110</v>
      </c>
      <c r="K93" s="2" t="s">
        <v>111</v>
      </c>
      <c r="L93" s="8" t="s">
        <v>112</v>
      </c>
      <c r="M93" s="7">
        <v>80</v>
      </c>
      <c r="N93" s="2" t="s">
        <v>7</v>
      </c>
      <c r="O93" s="2" t="s">
        <v>229</v>
      </c>
      <c r="P93" s="1">
        <v>46600</v>
      </c>
      <c r="Q93" s="1">
        <v>47117</v>
      </c>
      <c r="R93" s="2"/>
      <c r="S93" s="2"/>
      <c r="T93" s="2"/>
      <c r="U93" s="2"/>
      <c r="V93" s="2">
        <v>2028</v>
      </c>
    </row>
    <row r="94" spans="1:22" ht="14.5" customHeight="1">
      <c r="A94" s="9"/>
      <c r="B94" s="10">
        <v>3755</v>
      </c>
      <c r="C94" s="2" t="s">
        <v>104</v>
      </c>
      <c r="D94" s="1">
        <v>45486</v>
      </c>
      <c r="E94" s="1">
        <f t="shared" si="2"/>
        <v>46216</v>
      </c>
      <c r="F94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46216</v>
      </c>
      <c r="G94" s="1">
        <v>46216</v>
      </c>
      <c r="H94" s="2" t="s">
        <v>47</v>
      </c>
      <c r="I94" s="2" t="s">
        <v>148</v>
      </c>
      <c r="J94" s="2" t="s">
        <v>110</v>
      </c>
      <c r="K94" s="2" t="s">
        <v>111</v>
      </c>
      <c r="L94" s="2" t="s">
        <v>112</v>
      </c>
      <c r="M94" s="3">
        <v>200</v>
      </c>
      <c r="N94" s="2" t="s">
        <v>163</v>
      </c>
      <c r="O94" s="2" t="s">
        <v>197</v>
      </c>
      <c r="P94" s="1">
        <v>46600</v>
      </c>
      <c r="Q94" s="1">
        <v>47117</v>
      </c>
      <c r="R94" s="2"/>
      <c r="S94" s="2"/>
      <c r="T94" s="2"/>
      <c r="U94" s="2"/>
      <c r="V94" s="2">
        <v>2027</v>
      </c>
    </row>
    <row r="95" spans="1:22" ht="14.5" customHeight="1">
      <c r="A95" s="9"/>
      <c r="B95" s="11">
        <v>3756</v>
      </c>
      <c r="C95" s="2" t="s">
        <v>104</v>
      </c>
      <c r="D95" s="1">
        <v>45486</v>
      </c>
      <c r="E95" s="1">
        <f t="shared" si="2"/>
        <v>46216</v>
      </c>
      <c r="F95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46216</v>
      </c>
      <c r="G95" s="1">
        <v>46216</v>
      </c>
      <c r="H95" s="2" t="s">
        <v>46</v>
      </c>
      <c r="I95" s="2" t="s">
        <v>148</v>
      </c>
      <c r="J95" s="2" t="s">
        <v>110</v>
      </c>
      <c r="K95" s="2" t="s">
        <v>111</v>
      </c>
      <c r="L95" s="2" t="s">
        <v>112</v>
      </c>
      <c r="M95" s="3">
        <v>150</v>
      </c>
      <c r="N95" s="2" t="s">
        <v>180</v>
      </c>
      <c r="O95" s="2" t="s">
        <v>181</v>
      </c>
      <c r="P95" s="1">
        <v>46235</v>
      </c>
      <c r="Q95" s="1">
        <v>46751</v>
      </c>
      <c r="R95" s="2"/>
      <c r="S95" s="2"/>
      <c r="T95" s="2"/>
      <c r="U95" s="2"/>
      <c r="V95" s="2">
        <v>2027</v>
      </c>
    </row>
    <row r="96" spans="1:22" ht="14.5" customHeight="1">
      <c r="A96" s="9"/>
      <c r="B96" s="2">
        <v>3758</v>
      </c>
      <c r="C96" s="2" t="s">
        <v>104</v>
      </c>
      <c r="D96" s="1">
        <v>45486</v>
      </c>
      <c r="E96" s="1">
        <f t="shared" si="2"/>
        <v>46216</v>
      </c>
      <c r="F96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46216</v>
      </c>
      <c r="G96" s="1">
        <v>46216</v>
      </c>
      <c r="H96" s="2" t="s">
        <v>45</v>
      </c>
      <c r="I96" s="2" t="s">
        <v>148</v>
      </c>
      <c r="J96" s="2" t="s">
        <v>110</v>
      </c>
      <c r="K96" s="2" t="s">
        <v>111</v>
      </c>
      <c r="L96" s="2" t="s">
        <v>112</v>
      </c>
      <c r="M96" s="3">
        <v>150</v>
      </c>
      <c r="N96" s="2" t="s">
        <v>3</v>
      </c>
      <c r="O96" s="2" t="s">
        <v>215</v>
      </c>
      <c r="P96" s="16">
        <v>46600</v>
      </c>
      <c r="Q96" s="16">
        <v>47117</v>
      </c>
      <c r="R96" s="2"/>
      <c r="S96" s="2"/>
      <c r="T96" s="2"/>
      <c r="U96" s="2"/>
      <c r="V96" s="2"/>
    </row>
    <row r="97" spans="1:22" ht="14.5" customHeight="1">
      <c r="A97" s="9"/>
      <c r="B97" s="2">
        <v>3754</v>
      </c>
      <c r="C97" s="2" t="s">
        <v>104</v>
      </c>
      <c r="D97" s="1">
        <v>45485</v>
      </c>
      <c r="E97" s="1">
        <f t="shared" si="2"/>
        <v>46215</v>
      </c>
      <c r="F97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46215</v>
      </c>
      <c r="G97" s="1">
        <v>46215</v>
      </c>
      <c r="H97" s="2" t="s">
        <v>48</v>
      </c>
      <c r="I97" s="2" t="s">
        <v>148</v>
      </c>
      <c r="J97" s="2" t="s">
        <v>110</v>
      </c>
      <c r="K97" s="2" t="s">
        <v>111</v>
      </c>
      <c r="L97" s="2" t="s">
        <v>112</v>
      </c>
      <c r="M97" s="3">
        <v>200</v>
      </c>
      <c r="N97" s="2" t="s">
        <v>174</v>
      </c>
      <c r="O97" s="2" t="s">
        <v>230</v>
      </c>
      <c r="P97" s="16">
        <v>46600</v>
      </c>
      <c r="Q97" s="16">
        <v>47117</v>
      </c>
      <c r="R97" s="2"/>
      <c r="S97" s="2"/>
      <c r="T97" s="2"/>
      <c r="U97" s="2"/>
      <c r="V97" s="2"/>
    </row>
    <row r="98" spans="1:22" ht="14.5" customHeight="1">
      <c r="A98" s="9"/>
      <c r="B98" s="2">
        <v>3752</v>
      </c>
      <c r="C98" s="2" t="s">
        <v>104</v>
      </c>
      <c r="D98" s="1">
        <v>45483</v>
      </c>
      <c r="E98" s="1">
        <f t="shared" si="2"/>
        <v>46213</v>
      </c>
      <c r="F98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46213</v>
      </c>
      <c r="G98" s="1">
        <v>46213</v>
      </c>
      <c r="H98" s="2" t="s">
        <v>50</v>
      </c>
      <c r="I98" s="2" t="s">
        <v>148</v>
      </c>
      <c r="J98" s="2" t="s">
        <v>110</v>
      </c>
      <c r="K98" s="2" t="s">
        <v>111</v>
      </c>
      <c r="L98" s="2" t="s">
        <v>112</v>
      </c>
      <c r="M98" s="3">
        <v>50</v>
      </c>
      <c r="N98" s="2" t="s">
        <v>176</v>
      </c>
      <c r="O98" s="2" t="s">
        <v>231</v>
      </c>
      <c r="P98" s="16">
        <v>46600</v>
      </c>
      <c r="Q98" s="16">
        <v>47117</v>
      </c>
      <c r="R98" s="2"/>
      <c r="S98" s="2"/>
      <c r="T98" s="2"/>
      <c r="U98" s="2"/>
      <c r="V98" s="2"/>
    </row>
    <row r="99" spans="1:22" ht="14.5" customHeight="1">
      <c r="A99" s="9"/>
      <c r="B99" s="2">
        <v>3753</v>
      </c>
      <c r="C99" s="2" t="s">
        <v>104</v>
      </c>
      <c r="D99" s="1">
        <v>45483</v>
      </c>
      <c r="E99" s="1">
        <f t="shared" si="2"/>
        <v>46213</v>
      </c>
      <c r="F99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46213</v>
      </c>
      <c r="G99" s="1">
        <v>46213</v>
      </c>
      <c r="H99" s="2" t="s">
        <v>49</v>
      </c>
      <c r="I99" s="2" t="s">
        <v>148</v>
      </c>
      <c r="J99" s="2" t="s">
        <v>110</v>
      </c>
      <c r="K99" s="2" t="s">
        <v>111</v>
      </c>
      <c r="L99" s="2" t="s">
        <v>112</v>
      </c>
      <c r="M99" s="3">
        <v>100</v>
      </c>
      <c r="N99" s="2" t="s">
        <v>3</v>
      </c>
      <c r="O99" s="2" t="s">
        <v>183</v>
      </c>
      <c r="P99" s="16">
        <v>46235</v>
      </c>
      <c r="Q99" s="16">
        <v>46751</v>
      </c>
      <c r="R99" s="2"/>
      <c r="S99" s="2"/>
      <c r="T99" s="2"/>
      <c r="U99" s="2"/>
      <c r="V99" s="2"/>
    </row>
    <row r="100" spans="1:22" ht="14.5" customHeight="1">
      <c r="A100" s="9"/>
      <c r="B100" s="2">
        <v>3751</v>
      </c>
      <c r="C100" s="2" t="s">
        <v>104</v>
      </c>
      <c r="D100" s="1">
        <v>45475</v>
      </c>
      <c r="E100" s="1">
        <f t="shared" ref="E100:E131" si="3">IF(C100="Resolución UPME No. 749 de 2025",IF(I100="FASE 3", IF(ISBLANK(P100),D100+365,MIN(P100+365,P100)), IF(ISBLANK(P100),D100+730,MIN(D100+730,P100))),IF(I100="FASE 1", IF(ISBLANK(P100),D100+730,MIN(D100+730,P100)),IF(ISBLANK(P100),D100+365,MIN(D100+365,P100))))</f>
        <v>46205</v>
      </c>
      <c r="F100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46205</v>
      </c>
      <c r="G100" s="1">
        <v>46205</v>
      </c>
      <c r="H100" s="2" t="s">
        <v>51</v>
      </c>
      <c r="I100" s="2" t="s">
        <v>148</v>
      </c>
      <c r="J100" s="2" t="s">
        <v>110</v>
      </c>
      <c r="K100" s="2" t="s">
        <v>111</v>
      </c>
      <c r="L100" s="2" t="s">
        <v>112</v>
      </c>
      <c r="M100" s="3">
        <v>95</v>
      </c>
      <c r="N100" s="2" t="s">
        <v>176</v>
      </c>
      <c r="O100" s="2" t="s">
        <v>196</v>
      </c>
      <c r="P100" s="16">
        <v>46235</v>
      </c>
      <c r="Q100" s="16">
        <v>46751</v>
      </c>
      <c r="R100" s="2"/>
      <c r="S100" s="2"/>
      <c r="T100" s="2"/>
      <c r="U100" s="2"/>
      <c r="V100" s="2"/>
    </row>
    <row r="101" spans="1:22" ht="14.5" customHeight="1">
      <c r="A101" s="9"/>
      <c r="B101" s="2">
        <v>3738</v>
      </c>
      <c r="C101" s="2" t="s">
        <v>104</v>
      </c>
      <c r="D101" s="1">
        <v>45411</v>
      </c>
      <c r="E101" s="1">
        <f t="shared" si="3"/>
        <v>46141</v>
      </c>
      <c r="F101" s="1">
        <f>IF(REPORTE_ENERO3[[#This Row],[Fecha de validez: Marco normativo + Fecha construcción]]&lt;REPORTE_ENERO3[[#This Row],[Fecha de entrada en operación]],REPORTE_ENERO3[[#This Row],[Fecha de validez: Marco normativo + Fecha construcción]],REPORTE_ENERO3[[#This Row],[Fecha de entrada en operación]])</f>
        <v>46141</v>
      </c>
      <c r="G101" s="1">
        <v>46141</v>
      </c>
      <c r="H101" s="2" t="s">
        <v>54</v>
      </c>
      <c r="I101" s="2" t="s">
        <v>148</v>
      </c>
      <c r="J101" s="2" t="s">
        <v>110</v>
      </c>
      <c r="K101" s="2" t="s">
        <v>111</v>
      </c>
      <c r="L101" s="2" t="s">
        <v>112</v>
      </c>
      <c r="M101" s="3">
        <v>80</v>
      </c>
      <c r="N101" s="2" t="s">
        <v>3</v>
      </c>
      <c r="O101" s="2" t="s">
        <v>183</v>
      </c>
      <c r="P101" s="16">
        <v>46388</v>
      </c>
      <c r="Q101" s="16">
        <v>46751</v>
      </c>
      <c r="R101" s="2"/>
      <c r="S101" s="2"/>
      <c r="T101" s="2"/>
      <c r="U101" s="2"/>
      <c r="V101" s="2"/>
    </row>
    <row r="102" spans="1:22" ht="14.5" customHeight="1">
      <c r="B102" s="4"/>
      <c r="C102" s="4"/>
      <c r="D102" s="6"/>
      <c r="E102" s="6"/>
      <c r="F102" s="6"/>
      <c r="G102" s="6"/>
      <c r="H102" s="4">
        <f>SUBTOTAL(103,REPORTE_ENERO3[Nombre  del proyecto])</f>
        <v>98</v>
      </c>
      <c r="I102" s="4"/>
      <c r="J102" s="4"/>
      <c r="K102" s="4"/>
      <c r="L102" s="4"/>
      <c r="M102" s="5">
        <f>SUBTOTAL(109,REPORTE_ENERO3[Capacidad '[MW']])</f>
        <v>9202.7359999999935</v>
      </c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4.5" customHeight="1"/>
    <row r="104" spans="1:22" ht="14.5" customHeight="1"/>
    <row r="105" spans="1:22" ht="14.5" customHeight="1"/>
    <row r="106" spans="1:22" ht="14.5" customHeight="1"/>
    <row r="107" spans="1:22" ht="14.5" customHeight="1"/>
    <row r="108" spans="1:22" ht="14.5" customHeight="1"/>
    <row r="109" spans="1:22" ht="14.5" customHeight="1"/>
    <row r="110" spans="1:22" ht="14.5" customHeight="1"/>
    <row r="111" spans="1:22" ht="14.5" customHeight="1"/>
    <row r="112" spans="1:2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3" ht="14.5" customHeight="1"/>
    <row r="124" ht="14.5" customHeight="1"/>
    <row r="125" ht="14.5" customHeight="1"/>
    <row r="126" ht="14.5" customHeight="1"/>
    <row r="127" ht="14.5" customHeight="1"/>
    <row r="128" ht="14.5" customHeight="1"/>
    <row r="129" ht="14.5" customHeight="1"/>
    <row r="130" ht="14.5" customHeight="1"/>
    <row r="131" ht="14.5" customHeight="1"/>
    <row r="132" ht="14.5" customHeight="1"/>
    <row r="133" ht="14.5" customHeight="1"/>
    <row r="134" ht="14.5" customHeight="1"/>
    <row r="135" ht="14.5" customHeight="1"/>
    <row r="136" ht="14.5" customHeight="1"/>
    <row r="137" ht="14.5" customHeight="1"/>
    <row r="138" ht="14.5" customHeight="1"/>
    <row r="139" ht="14.5" customHeight="1"/>
    <row r="140" ht="14.5" customHeight="1"/>
    <row r="141" ht="14.5" customHeight="1"/>
    <row r="142" ht="14.5" customHeight="1"/>
    <row r="143" ht="14.5" customHeight="1"/>
    <row r="144" ht="14.5" customHeight="1"/>
    <row r="145" ht="14.5" customHeight="1"/>
    <row r="146" ht="14.5" customHeight="1"/>
    <row r="147" ht="14.5" customHeight="1"/>
    <row r="148" ht="14.5" customHeight="1"/>
    <row r="149" ht="14.5" customHeight="1"/>
    <row r="150" ht="14.5" customHeight="1"/>
    <row r="151" ht="14.5" customHeight="1"/>
    <row r="152" ht="14.5" customHeight="1"/>
    <row r="153" ht="14.5" customHeight="1"/>
    <row r="154" ht="14.5" customHeight="1"/>
    <row r="155" ht="14.5" customHeight="1"/>
    <row r="156" ht="14.5" customHeight="1"/>
    <row r="157" ht="14.5" customHeight="1"/>
    <row r="158" ht="14.5" customHeight="1"/>
    <row r="159" ht="14.5" customHeight="1"/>
    <row r="160" ht="14.5" customHeight="1"/>
    <row r="16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  <row r="204" ht="14.5" customHeight="1"/>
    <row r="205" ht="14.5" customHeight="1"/>
    <row r="206" ht="14.5" customHeight="1"/>
    <row r="207" ht="14.5" customHeight="1"/>
    <row r="208" ht="14.5" customHeight="1"/>
    <row r="209" ht="14.5" customHeight="1"/>
    <row r="210" ht="14.5" customHeight="1"/>
    <row r="211" ht="14.5" customHeight="1"/>
    <row r="212" ht="14.5" customHeight="1"/>
    <row r="213" ht="14.5" customHeight="1"/>
    <row r="214" ht="14.5" customHeight="1"/>
    <row r="215" ht="14.5" customHeight="1"/>
    <row r="216" ht="14.5" customHeight="1"/>
    <row r="217" ht="14.5" customHeight="1"/>
    <row r="218" ht="14.5" customHeight="1"/>
    <row r="219" ht="14.5" customHeight="1"/>
    <row r="220" ht="14.5" customHeight="1"/>
    <row r="221" ht="14.5" customHeight="1"/>
    <row r="222" ht="14.5" customHeight="1"/>
    <row r="223" ht="14.5" customHeight="1"/>
    <row r="224" ht="14.5" customHeight="1"/>
    <row r="225" ht="14.5" customHeight="1"/>
    <row r="226" ht="14.5" customHeight="1"/>
    <row r="227" ht="14.5" customHeight="1"/>
    <row r="228" ht="14.5" customHeight="1"/>
    <row r="229" ht="14.5" customHeight="1"/>
    <row r="230" ht="14.5" customHeight="1"/>
    <row r="231" ht="14.5" customHeight="1"/>
    <row r="232" ht="14.5" customHeight="1"/>
    <row r="233" ht="14.5" customHeight="1"/>
    <row r="234" ht="14.5" customHeight="1"/>
    <row r="235" ht="14.5" customHeight="1"/>
    <row r="236" ht="14.5" customHeight="1"/>
    <row r="237" ht="14.5" customHeight="1"/>
    <row r="238" ht="14.5" customHeight="1"/>
    <row r="239" ht="14.5" customHeight="1"/>
    <row r="240" ht="14.5" customHeight="1"/>
    <row r="241" ht="14.5" customHeight="1"/>
    <row r="242" ht="14.5" customHeight="1"/>
    <row r="243" ht="14.5" customHeight="1"/>
    <row r="244" ht="14.5" customHeight="1"/>
    <row r="245" ht="14.5" customHeight="1"/>
    <row r="246" ht="14.5" customHeight="1"/>
    <row r="247" ht="14.5" customHeight="1"/>
    <row r="248" ht="14.5" customHeight="1"/>
    <row r="249" ht="14.5" customHeight="1"/>
    <row r="250" ht="14.5" customHeight="1"/>
    <row r="251" ht="14.5" customHeight="1"/>
    <row r="252" ht="14.5" customHeight="1"/>
    <row r="253" ht="14.5" customHeight="1"/>
    <row r="254" ht="14.5" customHeight="1"/>
    <row r="255" ht="14.5" customHeight="1"/>
    <row r="256" ht="14.5" customHeight="1"/>
    <row r="257" ht="14.5" customHeight="1"/>
    <row r="258" ht="14.5" customHeight="1"/>
    <row r="259" ht="14.5" customHeight="1"/>
    <row r="260" ht="14.5" customHeight="1"/>
    <row r="261" ht="14.5" customHeight="1"/>
    <row r="262" ht="14.5" customHeight="1"/>
    <row r="263" ht="14.5" customHeight="1"/>
    <row r="264" ht="14.5" customHeight="1"/>
    <row r="265" ht="14.5" customHeight="1"/>
    <row r="266" ht="14.5" customHeight="1"/>
    <row r="267" ht="14.5" customHeight="1"/>
    <row r="268" ht="14.5" customHeight="1"/>
    <row r="269" ht="14.5" customHeight="1"/>
    <row r="270" ht="14.5" customHeight="1"/>
    <row r="271" ht="14.5" customHeight="1"/>
    <row r="272" ht="14.5" customHeight="1"/>
    <row r="273" ht="14.5" customHeight="1"/>
    <row r="274" ht="14.5" customHeight="1"/>
    <row r="275" ht="14.5" customHeight="1"/>
    <row r="276" ht="14.5" customHeight="1"/>
    <row r="277" ht="14.5" customHeight="1"/>
    <row r="278" ht="14.5" customHeight="1"/>
    <row r="279" ht="14.5" customHeight="1"/>
    <row r="280" ht="14.5" customHeight="1"/>
    <row r="281" ht="14.5" customHeight="1"/>
    <row r="282" ht="14.5" customHeight="1"/>
    <row r="283" ht="14.5" customHeight="1"/>
    <row r="284" ht="14.5" customHeight="1"/>
    <row r="285" ht="14.5" customHeight="1"/>
    <row r="286" ht="14.5" customHeight="1"/>
    <row r="287" ht="14.5" customHeight="1"/>
    <row r="288" ht="14.5" customHeight="1"/>
    <row r="289" ht="14.5" customHeight="1"/>
    <row r="290" ht="14.5" customHeight="1"/>
    <row r="291" ht="14.5" customHeight="1"/>
    <row r="292" ht="14.5" customHeight="1"/>
    <row r="293" ht="14.5" customHeight="1"/>
    <row r="294" ht="14.5" customHeight="1"/>
    <row r="295" ht="14.5" customHeight="1"/>
    <row r="296" ht="14.5" customHeight="1"/>
  </sheetData>
  <sheetProtection algorithmName="SHA-512" hashValue="SQJFfbJ2DVfoNT/OgxngOAwv/mLFjwew6VOaAdDee8SgUswgZyHXvyrxEME+FHxsl7UW2u9WiHhIXi5pGzBDXQ==" saltValue="9Z+At+AkJTc4Lre/qK2OQg==" spinCount="100000" sheet="1" sort="0" autoFilter="0"/>
  <mergeCells count="2">
    <mergeCell ref="C1:Q1"/>
    <mergeCell ref="B2:Q2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Camila Pinilla Granados</dc:creator>
  <cp:lastModifiedBy>María Camila Pinilla Granados</cp:lastModifiedBy>
  <dcterms:created xsi:type="dcterms:W3CDTF">2026-02-09T17:34:06Z</dcterms:created>
  <dcterms:modified xsi:type="dcterms:W3CDTF">2026-04-10T21:40:00Z</dcterms:modified>
</cp:coreProperties>
</file>